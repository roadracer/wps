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.wps\Desktop\"/>
    </mc:Choice>
  </mc:AlternateContent>
  <xr:revisionPtr revIDLastSave="0" documentId="8_{495B5460-F72D-4D6F-B2FD-89E8EED9269B}" xr6:coauthVersionLast="40" xr6:coauthVersionMax="40" xr10:uidLastSave="{00000000-0000-0000-0000-000000000000}"/>
  <bookViews>
    <workbookView xWindow="0" yWindow="0" windowWidth="15360" windowHeight="7500" xr2:uid="{9F49C3CB-A1FF-4758-B4E0-EEDB8C694742}"/>
  </bookViews>
  <sheets>
    <sheet name="2019年新个税-每月实际收入速算表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G14" i="1"/>
  <c r="G13" i="1"/>
  <c r="G12" i="1"/>
  <c r="G11" i="1"/>
  <c r="G10" i="1"/>
  <c r="G9" i="1"/>
  <c r="G8" i="1"/>
  <c r="G7" i="1"/>
  <c r="G6" i="1"/>
  <c r="G5" i="1"/>
  <c r="I4" i="1"/>
  <c r="H4" i="1"/>
  <c r="J4" i="1" s="1"/>
  <c r="K4" i="1" s="1"/>
  <c r="G4" i="1"/>
  <c r="I5" i="1" l="1"/>
  <c r="H5" i="1"/>
  <c r="H6" i="1" s="1"/>
  <c r="H7" i="1" s="1"/>
  <c r="H8" i="1" l="1"/>
  <c r="J5" i="1"/>
  <c r="K5" i="1" s="1"/>
  <c r="H9" i="1" l="1"/>
  <c r="I6" i="1"/>
  <c r="J6" i="1" l="1"/>
  <c r="K6" i="1" s="1"/>
  <c r="H10" i="1"/>
  <c r="I7" i="1" l="1"/>
  <c r="H11" i="1"/>
  <c r="H12" i="1" l="1"/>
  <c r="I8" i="1"/>
  <c r="J7" i="1"/>
  <c r="K7" i="1" s="1"/>
  <c r="J8" i="1" l="1"/>
  <c r="K8" i="1" s="1"/>
  <c r="H13" i="1"/>
  <c r="I9" i="1" l="1"/>
  <c r="H14" i="1"/>
  <c r="H15" i="1" l="1"/>
  <c r="I10" i="1"/>
  <c r="J9" i="1"/>
  <c r="K9" i="1" s="1"/>
  <c r="J10" i="1" l="1"/>
  <c r="K10" i="1" s="1"/>
  <c r="I11" i="1" l="1"/>
  <c r="J11" i="1" l="1"/>
  <c r="K11" i="1" s="1"/>
  <c r="I12" i="1" l="1"/>
  <c r="J12" i="1" l="1"/>
  <c r="K12" i="1" s="1"/>
  <c r="I13" i="1" l="1"/>
  <c r="J13" i="1" l="1"/>
  <c r="K13" i="1" s="1"/>
  <c r="I14" i="1" l="1"/>
  <c r="J14" i="1" l="1"/>
  <c r="K14" i="1" s="1"/>
  <c r="I15" i="1" l="1"/>
  <c r="J15" i="1" s="1"/>
  <c r="K15" i="1" s="1"/>
</calcChain>
</file>

<file path=xl/sharedStrings.xml><?xml version="1.0" encoding="utf-8"?>
<sst xmlns="http://schemas.openxmlformats.org/spreadsheetml/2006/main" count="24" uniqueCount="24">
  <si>
    <t>2019年新个税-每月实际收入速算表</t>
  </si>
  <si>
    <r>
      <rPr>
        <sz val="14"/>
        <color theme="1"/>
        <rFont val="微软雅黑"/>
        <family val="2"/>
        <charset val="134"/>
      </rPr>
      <t>请手动更新</t>
    </r>
    <r>
      <rPr>
        <sz val="14"/>
        <color rgb="FFFF0000"/>
        <rFont val="微软雅黑"/>
        <family val="2"/>
        <charset val="134"/>
      </rPr>
      <t>红色字体</t>
    </r>
    <r>
      <rPr>
        <sz val="14"/>
        <color theme="1"/>
        <rFont val="微软雅黑"/>
        <family val="2"/>
        <charset val="134"/>
      </rPr>
      <t>数据（即“工资”、“三险一金”、“专项抵扣”列），“本月实际收入”即可自动计算。</t>
    </r>
  </si>
  <si>
    <t>月份</t>
  </si>
  <si>
    <t>工资</t>
  </si>
  <si>
    <t>免征额（固定值）</t>
  </si>
  <si>
    <t>三险一金</t>
  </si>
  <si>
    <t>专项抵扣</t>
  </si>
  <si>
    <t>本月应税额</t>
  </si>
  <si>
    <t>前期累计应税额</t>
  </si>
  <si>
    <t>前期累计扣税</t>
  </si>
  <si>
    <t>本月扣税</t>
  </si>
  <si>
    <t>本月实际收入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</si>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</sst>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charset val="134"/>
      <scheme val="minor"/>
    </font>
    <font>
      <sz val="10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4"/>
      <color rgb="FFFF0000"/>
      <name val="微软雅黑"/>
      <family val="2"/>
      <charset val="134"/>
    </font>
    <font>
      <sz val="10"/>
      <color theme="1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10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6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E5B8D-D8C6-4E1A-883A-A3643B4EA43D}">
  <dimension ref="B1:K15"/>
  <sheetViews>
    <sheetView tabSelected="1" workbookViewId="0">
      <selection activeCell="G4" sqref="G4"/>
    </sheetView>
  </sheetViews>
  <sheetFormatPr defaultColWidth="9" defaultRowHeight="16.5" x14ac:dyDescent="0.2"/>
  <cols>
    <col min="1" max="1" width="9" style="2"/>
    <col min="2" max="2" width="12.375" style="16" customWidth="1"/>
    <col min="3" max="11" width="16.125" style="16" customWidth="1"/>
    <col min="12" max="16384" width="9" style="2"/>
  </cols>
  <sheetData>
    <row r="1" spans="2:11" ht="24.75" x14ac:dyDescent="0.2">
      <c r="B1" s="1" t="s">
        <v>0</v>
      </c>
      <c r="C1" s="1"/>
      <c r="D1" s="1"/>
      <c r="E1" s="1"/>
      <c r="F1" s="1"/>
      <c r="G1" s="1"/>
      <c r="H1" s="1"/>
      <c r="I1" s="1"/>
      <c r="J1" s="1"/>
      <c r="K1" s="1"/>
    </row>
    <row r="2" spans="2:11" ht="20.25" x14ac:dyDescent="0.2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</row>
    <row r="3" spans="2:11" s="7" customFormat="1" ht="30" customHeight="1" x14ac:dyDescent="0.2">
      <c r="B3" s="4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  <c r="I3" s="5" t="s">
        <v>9</v>
      </c>
      <c r="J3" s="5" t="s">
        <v>10</v>
      </c>
      <c r="K3" s="6" t="s">
        <v>11</v>
      </c>
    </row>
    <row r="4" spans="2:11" ht="21.95" customHeight="1" x14ac:dyDescent="0.2">
      <c r="B4" s="8" t="s">
        <v>12</v>
      </c>
      <c r="C4" s="9">
        <v>20000</v>
      </c>
      <c r="D4" s="10">
        <v>5000</v>
      </c>
      <c r="E4" s="9">
        <v>4000</v>
      </c>
      <c r="F4" s="9">
        <v>1000</v>
      </c>
      <c r="G4" s="10">
        <f>MAX((C4-D4-E4-F4),0)</f>
        <v>10000</v>
      </c>
      <c r="H4" s="10">
        <f>MAX(0)</f>
        <v>0</v>
      </c>
      <c r="I4" s="10">
        <f>MAX(0)</f>
        <v>0</v>
      </c>
      <c r="J4" s="10">
        <f>MAX((ROUND(MAX((G4+H4)*{0.03,0.1,0.2,0.25,0.3,0.35,0.45}-{0,210,1410,2660,4410,7160,15160}*12,0),2)-I4),0)</f>
        <v>300</v>
      </c>
      <c r="K4" s="11">
        <f>MAX((C4-E4-J4),0)</f>
        <v>15700</v>
      </c>
    </row>
    <row r="5" spans="2:11" ht="21.95" customHeight="1" x14ac:dyDescent="0.2">
      <c r="B5" s="8" t="s">
        <v>13</v>
      </c>
      <c r="C5" s="9">
        <v>20000</v>
      </c>
      <c r="D5" s="10">
        <v>5000</v>
      </c>
      <c r="E5" s="9">
        <v>4000</v>
      </c>
      <c r="F5" s="9">
        <v>1000</v>
      </c>
      <c r="G5" s="10">
        <f t="shared" ref="G5:G15" si="0">MAX((C5-D5-E5-F5),0)</f>
        <v>10000</v>
      </c>
      <c r="H5" s="10">
        <f>MAX((H4+G5),0)</f>
        <v>10000</v>
      </c>
      <c r="I5" s="10">
        <f>MAX((I4+J4),0)</f>
        <v>300</v>
      </c>
      <c r="J5" s="10">
        <f>ROUND(MAX((G5+H5)*{0.03,0.1,0.2,0.25,0.3,0.35,0.45}-{0,210,1410,2660,4410,7160,15160}*12,0),2)-I5</f>
        <v>300</v>
      </c>
      <c r="K5" s="11">
        <f t="shared" ref="K5:K15" si="1">MAX((C5-E5-J5),0)</f>
        <v>15700</v>
      </c>
    </row>
    <row r="6" spans="2:11" ht="21.95" customHeight="1" x14ac:dyDescent="0.2">
      <c r="B6" s="8" t="s">
        <v>14</v>
      </c>
      <c r="C6" s="9">
        <v>20000</v>
      </c>
      <c r="D6" s="10">
        <v>5000</v>
      </c>
      <c r="E6" s="9">
        <v>4000</v>
      </c>
      <c r="F6" s="9">
        <v>1000</v>
      </c>
      <c r="G6" s="10">
        <f t="shared" si="0"/>
        <v>10000</v>
      </c>
      <c r="H6" s="10">
        <f t="shared" ref="H6:H15" si="2">MAX((H5+G6),0)</f>
        <v>20000</v>
      </c>
      <c r="I6" s="10">
        <f t="shared" ref="I6:I15" si="3">MAX((I5+J5),0)</f>
        <v>600</v>
      </c>
      <c r="J6" s="10">
        <f>ROUND(MAX((G6+H6)*{0.03,0.1,0.2,0.25,0.3,0.35,0.45}-{0,210,1410,2660,4410,7160,15160}*12,0),2)-I6</f>
        <v>300</v>
      </c>
      <c r="K6" s="11">
        <f t="shared" si="1"/>
        <v>15700</v>
      </c>
    </row>
    <row r="7" spans="2:11" ht="21.95" customHeight="1" x14ac:dyDescent="0.2">
      <c r="B7" s="8" t="s">
        <v>15</v>
      </c>
      <c r="C7" s="9">
        <v>20000</v>
      </c>
      <c r="D7" s="10">
        <v>5000</v>
      </c>
      <c r="E7" s="9">
        <v>4000</v>
      </c>
      <c r="F7" s="9">
        <v>1000</v>
      </c>
      <c r="G7" s="10">
        <f t="shared" si="0"/>
        <v>10000</v>
      </c>
      <c r="H7" s="10">
        <f t="shared" si="2"/>
        <v>30000</v>
      </c>
      <c r="I7" s="10">
        <f t="shared" si="3"/>
        <v>900</v>
      </c>
      <c r="J7" s="10">
        <f>ROUND(MAX((G7+H7)*{0.03,0.1,0.2,0.25,0.3,0.35,0.45}-{0,210,1410,2660,4410,7160,15160}*12,0),2)-I7</f>
        <v>580</v>
      </c>
      <c r="K7" s="11">
        <f t="shared" si="1"/>
        <v>15420</v>
      </c>
    </row>
    <row r="8" spans="2:11" ht="21.95" customHeight="1" x14ac:dyDescent="0.2">
      <c r="B8" s="8" t="s">
        <v>16</v>
      </c>
      <c r="C8" s="9">
        <v>20000</v>
      </c>
      <c r="D8" s="10">
        <v>5000</v>
      </c>
      <c r="E8" s="9">
        <v>4000</v>
      </c>
      <c r="F8" s="9">
        <v>1000</v>
      </c>
      <c r="G8" s="10">
        <f t="shared" si="0"/>
        <v>10000</v>
      </c>
      <c r="H8" s="10">
        <f t="shared" si="2"/>
        <v>40000</v>
      </c>
      <c r="I8" s="10">
        <f t="shared" si="3"/>
        <v>1480</v>
      </c>
      <c r="J8" s="10">
        <f>ROUND(MAX((G8+H8)*{0.03,0.1,0.2,0.25,0.3,0.35,0.45}-{0,210,1410,2660,4410,7160,15160}*12,0),2)-I8</f>
        <v>1000</v>
      </c>
      <c r="K8" s="11">
        <f t="shared" si="1"/>
        <v>15000</v>
      </c>
    </row>
    <row r="9" spans="2:11" ht="21.95" customHeight="1" x14ac:dyDescent="0.2">
      <c r="B9" s="8" t="s">
        <v>17</v>
      </c>
      <c r="C9" s="9">
        <v>20000</v>
      </c>
      <c r="D9" s="10">
        <v>5000</v>
      </c>
      <c r="E9" s="9">
        <v>4000</v>
      </c>
      <c r="F9" s="9">
        <v>1000</v>
      </c>
      <c r="G9" s="10">
        <f t="shared" si="0"/>
        <v>10000</v>
      </c>
      <c r="H9" s="10">
        <f t="shared" si="2"/>
        <v>50000</v>
      </c>
      <c r="I9" s="10">
        <f t="shared" si="3"/>
        <v>2480</v>
      </c>
      <c r="J9" s="10">
        <f>ROUND(MAX((G9+H9)*{0.03,0.1,0.2,0.25,0.3,0.35,0.45}-{0,210,1410,2660,4410,7160,15160}*12,0),2)-I9</f>
        <v>1000</v>
      </c>
      <c r="K9" s="11">
        <f t="shared" si="1"/>
        <v>15000</v>
      </c>
    </row>
    <row r="10" spans="2:11" ht="21.95" customHeight="1" x14ac:dyDescent="0.2">
      <c r="B10" s="8" t="s">
        <v>18</v>
      </c>
      <c r="C10" s="9">
        <v>20000</v>
      </c>
      <c r="D10" s="10">
        <v>5000</v>
      </c>
      <c r="E10" s="9">
        <v>4000</v>
      </c>
      <c r="F10" s="9">
        <v>1000</v>
      </c>
      <c r="G10" s="10">
        <f t="shared" si="0"/>
        <v>10000</v>
      </c>
      <c r="H10" s="10">
        <f t="shared" si="2"/>
        <v>60000</v>
      </c>
      <c r="I10" s="10">
        <f t="shared" si="3"/>
        <v>3480</v>
      </c>
      <c r="J10" s="10">
        <f>ROUND(MAX((G10+H10)*{0.03,0.1,0.2,0.25,0.3,0.35,0.45}-{0,210,1410,2660,4410,7160,15160}*12,0),2)-I10</f>
        <v>1000</v>
      </c>
      <c r="K10" s="11">
        <f t="shared" si="1"/>
        <v>15000</v>
      </c>
    </row>
    <row r="11" spans="2:11" ht="21.95" customHeight="1" x14ac:dyDescent="0.2">
      <c r="B11" s="8" t="s">
        <v>19</v>
      </c>
      <c r="C11" s="9">
        <v>20000</v>
      </c>
      <c r="D11" s="10">
        <v>5000</v>
      </c>
      <c r="E11" s="9">
        <v>4000</v>
      </c>
      <c r="F11" s="9">
        <v>1000</v>
      </c>
      <c r="G11" s="10">
        <f t="shared" si="0"/>
        <v>10000</v>
      </c>
      <c r="H11" s="10">
        <f t="shared" si="2"/>
        <v>70000</v>
      </c>
      <c r="I11" s="10">
        <f t="shared" si="3"/>
        <v>4480</v>
      </c>
      <c r="J11" s="10">
        <f>ROUND(MAX((G11+H11)*{0.03,0.1,0.2,0.25,0.3,0.35,0.45}-{0,210,1410,2660,4410,7160,15160}*12,0),2)-I11</f>
        <v>1000</v>
      </c>
      <c r="K11" s="11">
        <f t="shared" si="1"/>
        <v>15000</v>
      </c>
    </row>
    <row r="12" spans="2:11" ht="21.95" customHeight="1" x14ac:dyDescent="0.2">
      <c r="B12" s="8" t="s">
        <v>20</v>
      </c>
      <c r="C12" s="9">
        <v>20000</v>
      </c>
      <c r="D12" s="10">
        <v>5000</v>
      </c>
      <c r="E12" s="9">
        <v>4000</v>
      </c>
      <c r="F12" s="9">
        <v>1000</v>
      </c>
      <c r="G12" s="10">
        <f t="shared" si="0"/>
        <v>10000</v>
      </c>
      <c r="H12" s="10">
        <f t="shared" si="2"/>
        <v>80000</v>
      </c>
      <c r="I12" s="10">
        <f t="shared" si="3"/>
        <v>5480</v>
      </c>
      <c r="J12" s="10">
        <f>ROUND(MAX((G12+H12)*{0.03,0.1,0.2,0.25,0.3,0.35,0.45}-{0,210,1410,2660,4410,7160,15160}*12,0),2)-I12</f>
        <v>1000</v>
      </c>
      <c r="K12" s="11">
        <f t="shared" si="1"/>
        <v>15000</v>
      </c>
    </row>
    <row r="13" spans="2:11" ht="21.95" customHeight="1" x14ac:dyDescent="0.2">
      <c r="B13" s="8" t="s">
        <v>21</v>
      </c>
      <c r="C13" s="9">
        <v>20000</v>
      </c>
      <c r="D13" s="10">
        <v>5000</v>
      </c>
      <c r="E13" s="9">
        <v>4000</v>
      </c>
      <c r="F13" s="9">
        <v>1000</v>
      </c>
      <c r="G13" s="10">
        <f t="shared" si="0"/>
        <v>10000</v>
      </c>
      <c r="H13" s="10">
        <f t="shared" si="2"/>
        <v>90000</v>
      </c>
      <c r="I13" s="10">
        <f t="shared" si="3"/>
        <v>6480</v>
      </c>
      <c r="J13" s="10">
        <f>ROUND(MAX((G13+H13)*{0.03,0.1,0.2,0.25,0.3,0.35,0.45}-{0,210,1410,2660,4410,7160,15160}*12,0),2)-I13</f>
        <v>1000</v>
      </c>
      <c r="K13" s="11">
        <f t="shared" si="1"/>
        <v>15000</v>
      </c>
    </row>
    <row r="14" spans="2:11" ht="21.95" customHeight="1" x14ac:dyDescent="0.2">
      <c r="B14" s="8" t="s">
        <v>22</v>
      </c>
      <c r="C14" s="9">
        <v>20000</v>
      </c>
      <c r="D14" s="10">
        <v>5000</v>
      </c>
      <c r="E14" s="9">
        <v>4000</v>
      </c>
      <c r="F14" s="9">
        <v>1000</v>
      </c>
      <c r="G14" s="10">
        <f t="shared" si="0"/>
        <v>10000</v>
      </c>
      <c r="H14" s="10">
        <f t="shared" si="2"/>
        <v>100000</v>
      </c>
      <c r="I14" s="10">
        <f t="shared" si="3"/>
        <v>7480</v>
      </c>
      <c r="J14" s="10">
        <f>ROUND(MAX((G14+H14)*{0.03,0.1,0.2,0.25,0.3,0.35,0.45}-{0,210,1410,2660,4410,7160,15160}*12,0),2)-I14</f>
        <v>1000</v>
      </c>
      <c r="K14" s="11">
        <f t="shared" si="1"/>
        <v>15000</v>
      </c>
    </row>
    <row r="15" spans="2:11" ht="21.95" customHeight="1" x14ac:dyDescent="0.2">
      <c r="B15" s="12" t="s">
        <v>23</v>
      </c>
      <c r="C15" s="13">
        <v>20000</v>
      </c>
      <c r="D15" s="14">
        <v>5000</v>
      </c>
      <c r="E15" s="13">
        <v>4000</v>
      </c>
      <c r="F15" s="13">
        <v>1000</v>
      </c>
      <c r="G15" s="14">
        <f t="shared" si="0"/>
        <v>10000</v>
      </c>
      <c r="H15" s="14">
        <f t="shared" si="2"/>
        <v>110000</v>
      </c>
      <c r="I15" s="14">
        <f t="shared" si="3"/>
        <v>8480</v>
      </c>
      <c r="J15" s="14">
        <f>ROUND(MAX((G15+H15)*{0.03,0.1,0.2,0.25,0.3,0.35,0.45}-{0,210,1410,2660,4410,7160,15160}*12,0),2)-I15</f>
        <v>1000</v>
      </c>
      <c r="K15" s="15">
        <f t="shared" si="1"/>
        <v>15000</v>
      </c>
    </row>
  </sheetData>
  <mergeCells count="2">
    <mergeCell ref="B1:K1"/>
    <mergeCell ref="B2:K2"/>
  </mergeCells>
  <phoneticPr fontId="2" type="noConversion"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2019年新个税-每月实际收入速算表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2019-01-17T12:24:18Z</dcterms:created>
  <dcterms:modified xsi:type="dcterms:W3CDTF">2019-01-17T12:25:06Z</dcterms:modified>
</cp:coreProperties>
</file>