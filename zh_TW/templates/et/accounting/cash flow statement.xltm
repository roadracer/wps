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externalLinks/externalLink1.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540" tabRatio="932" activeTab="8"/>
  </bookViews>
  <sheets>
    <sheet name="預計資金流量表" sheetId="111" r:id="rId1"/>
    <sheet name="主營成本支出現金預算表" sheetId="106" r:id="rId2"/>
    <sheet name="管理費用現金預算表" sheetId="107" r:id="rId3"/>
    <sheet name="銷售費用現金預算表" sheetId="108" r:id="rId4"/>
    <sheet name="稅費支出現金預算表" sheetId="109" r:id="rId5"/>
    <sheet name="投資收回現金預算表" sheetId="110" r:id="rId6"/>
    <sheet name="購置非流動資產支出現金預算表" sheetId="31" r:id="rId7"/>
    <sheet name="投資支出" sheetId="30" r:id="rId8"/>
    <sheet name="財務費用" sheetId="28" r:id="rId9"/>
  </sheets>
  <externalReferences>
    <externalReference r:id="rId10"/>
    <externalReference r:id="rId11"/>
    <externalReference r:id="rId12"/>
    <externalReference r:id="rId13"/>
    <externalReference r:id="rId14"/>
    <externalReference r:id="rId15"/>
    <externalReference r:id="rId16"/>
    <externalReference r:id="rId17"/>
    <externalReference r:id="rId18"/>
    <externalReference r:id="rId19"/>
    <externalReference r:id="rId20"/>
  </externalReferences>
  <definedNames>
    <definedName name="_132__123Graph_ACHART_2" hidden="1">#REF!</definedName>
    <definedName name="_165__123Graph_LBL_ACHART_1" hidden="1">#REF!</definedName>
    <definedName name="_198__123Graph_LBL_ACHART_2" hidden="1">#REF!</definedName>
    <definedName name="_231__123Graph_XCHART_1" hidden="1">#REF!</definedName>
    <definedName name="_264__123Graph_XCHART_2" hidden="1">#REF!</definedName>
    <definedName name="_33_">[1]RGDP!#REF!</definedName>
    <definedName name="_66UN">[2]HKBUD!#REF!</definedName>
    <definedName name="_99__123Graph_ACHART_1" hidden="1">#REF!</definedName>
    <definedName name="_A65600">[3]Control!#REF!</definedName>
    <definedName name="_A66000">[3]Control!#REF!</definedName>
    <definedName name="_A75000">[3]Control!#REF!</definedName>
    <definedName name="_KeP1">#REF!</definedName>
    <definedName name="_KeP10">#REF!</definedName>
    <definedName name="_KeP11">#REF!</definedName>
    <definedName name="_KeP12">#REF!</definedName>
    <definedName name="_KeP13">#REF!</definedName>
    <definedName name="_KeP14">#REF!</definedName>
    <definedName name="_KeP15">#REF!</definedName>
    <definedName name="_KeP16">#REF!</definedName>
    <definedName name="_KeP17">#REF!</definedName>
    <definedName name="_KeP18">#REF!</definedName>
    <definedName name="_KeP19">#REF!</definedName>
    <definedName name="_KeP2">#REF!</definedName>
    <definedName name="_KeP20">#REF!</definedName>
    <definedName name="_KeP21">#REF!</definedName>
    <definedName name="_KeP22">#REF!</definedName>
    <definedName name="_KeP23">#REF!</definedName>
    <definedName name="_KeP24">#REF!</definedName>
    <definedName name="_KeP25">#REF!</definedName>
    <definedName name="_KeP26">#REF!</definedName>
    <definedName name="_KeP27">#REF!</definedName>
    <definedName name="_KeP28">#REF!</definedName>
    <definedName name="_KeP29">#REF!</definedName>
    <definedName name="_KeP3">#REF!</definedName>
    <definedName name="_KeP30">#REF!</definedName>
    <definedName name="_KeP31">#REF!</definedName>
    <definedName name="_KeP32">#REF!</definedName>
    <definedName name="_KeP33">#REF!</definedName>
    <definedName name="_KeP34">#REF!</definedName>
    <definedName name="_KeP35">#REF!</definedName>
    <definedName name="_KeP36">#REF!</definedName>
    <definedName name="_KeP37">#REF!</definedName>
    <definedName name="_KeP38">#REF!</definedName>
    <definedName name="_KeP39">#REF!</definedName>
    <definedName name="_KeP4">#REF!</definedName>
    <definedName name="_KeP40">#REF!</definedName>
    <definedName name="_KeP41">#REF!</definedName>
    <definedName name="_KeP42">#REF!</definedName>
    <definedName name="_KeP43">#REF!</definedName>
    <definedName name="_KeP44">#REF!</definedName>
    <definedName name="_KeP45">#REF!</definedName>
    <definedName name="_KeP46">#REF!</definedName>
    <definedName name="_KeP47">#REF!</definedName>
    <definedName name="_KeP48">#REF!</definedName>
    <definedName name="_KeP49">#REF!</definedName>
    <definedName name="_KeP5">#REF!</definedName>
    <definedName name="_KeP50">#REF!</definedName>
    <definedName name="_KeP51">#REF!</definedName>
    <definedName name="_KeP52">#REF!</definedName>
    <definedName name="_KeP53">#REF!</definedName>
    <definedName name="_KeP54">#REF!</definedName>
    <definedName name="_KeP55">#REF!</definedName>
    <definedName name="_KeP56">#REF!</definedName>
    <definedName name="_KeP57">#REF!</definedName>
    <definedName name="_KeP58">#REF!</definedName>
    <definedName name="_KeP59">#REF!</definedName>
    <definedName name="_KeP6">#REF!</definedName>
    <definedName name="_KeP60">#REF!</definedName>
    <definedName name="_KeP61">#REF!</definedName>
    <definedName name="_KeP62">#REF!</definedName>
    <definedName name="_KeP63">#REF!</definedName>
    <definedName name="_KeP64">#REF!</definedName>
    <definedName name="_KeP65">#REF!</definedName>
    <definedName name="_KeP66">#REF!</definedName>
    <definedName name="_KeP67">#REF!</definedName>
    <definedName name="_KeP68">#REF!</definedName>
    <definedName name="_KeP7">#REF!</definedName>
    <definedName name="_KeP8">#REF!</definedName>
    <definedName name="_KeP9">#REF!</definedName>
    <definedName name="_Key1" hidden="1">#REF!</definedName>
    <definedName name="_Key2" hidden="1">#REF!</definedName>
    <definedName name="_LinkPic_37248C7B3E124066B287771A302E1C81">'[4]average price'!$A$2:$C$14</definedName>
    <definedName name="_LinkPic_475A41B23F8C467F86010210B21E5B4B">'[4]05年预售率'!$J$54</definedName>
    <definedName name="_LinkPic_54F4C4D08A3849E3ACB68735C6A69B59">'[4]05年预售率'!$H$41:$I$61</definedName>
    <definedName name="_LinkPic_55685CE3DB214FBCA36C229AC2B53A5F">'[5]company operations'!$N$22</definedName>
    <definedName name="_LinkPic_5AE27CE1EA194B7E832D79E4D6C5F500">'[4]average price'!$B$2:$C$14</definedName>
    <definedName name="_LinkPic_9C96745DAFF347DF99F7FD42DC5A12C3">'[4]2006年宏观调控对绿城的影响'!$A$21:$H$26</definedName>
    <definedName name="_LinkPic_A9A5B9F7B9204F1F8DEAA14267FF4D7B">'[4]05年预售率'!$H$41:$Q$50</definedName>
    <definedName name="_LinkPic_B0371C0C610B4337A172E08CD9201342">[5]hangzhou2!$A$42:$D$52</definedName>
    <definedName name="_Order1" hidden="1">255</definedName>
    <definedName name="_Order2" hidden="1">255</definedName>
    <definedName name="_Regression_Out" hidden="1">#REF!</definedName>
    <definedName name="_Regression_X" hidden="1">#REF!</definedName>
    <definedName name="_Regression_Y" hidden="1">#REF!</definedName>
    <definedName name="_Sort" hidden="1">#REF!</definedName>
    <definedName name="_Table2_In1" hidden="1">#REF!</definedName>
    <definedName name="_Table2_In2" hidden="1">#REF!</definedName>
    <definedName name="_Table2_Out" hidden="1">#REF!</definedName>
    <definedName name="_Table3_In2" hidden="1">#REF!</definedName>
    <definedName name="base">[6]Setting!$S$20</definedName>
    <definedName name="baseyear">[7]Setting!$S$20</definedName>
    <definedName name="BLPH1" hidden="1">#REF!</definedName>
    <definedName name="BS_Account_payable">[3]Control!#REF!</definedName>
    <definedName name="BS_Account_receivable">[3]Control!#REF!</definedName>
    <definedName name="BS_Advance_to_affiliates">[3]Control!#REF!</definedName>
    <definedName name="BS_amount_due_to_intercompanies">[3]Control!#REF!</definedName>
    <definedName name="BS_bank_debt_net_change">'[3]Bank Debt'!#REF!</definedName>
    <definedName name="BS_liabilites_plus_shareholders__equity">[3]Control!#REF!</definedName>
    <definedName name="CapIncP1">#REF!</definedName>
    <definedName name="CapIncP10">#REF!</definedName>
    <definedName name="CapIncP11">#REF!</definedName>
    <definedName name="CapIncP12">#REF!</definedName>
    <definedName name="CapIncP13">#REF!</definedName>
    <definedName name="CapIncP14">#REF!</definedName>
    <definedName name="CapIncP15">#REF!</definedName>
    <definedName name="CapIncP16">#REF!</definedName>
    <definedName name="CapIncP17">#REF!</definedName>
    <definedName name="CapIncP18">#REF!</definedName>
    <definedName name="CapIncP19">#REF!</definedName>
    <definedName name="CapIncP2">#REF!</definedName>
    <definedName name="CapIncP20">#REF!</definedName>
    <definedName name="CapIncP21">#REF!</definedName>
    <definedName name="CapIncP22">#REF!</definedName>
    <definedName name="CapIncP23">#REF!</definedName>
    <definedName name="CapIncP24">#REF!</definedName>
    <definedName name="CapIncP25">#REF!</definedName>
    <definedName name="CapIncP26">#REF!</definedName>
    <definedName name="CapIncP27">#REF!</definedName>
    <definedName name="CapIncP28">#REF!</definedName>
    <definedName name="CapIncP29">#REF!</definedName>
    <definedName name="CapIncP3">#REF!</definedName>
    <definedName name="CapIncP30">#REF!</definedName>
    <definedName name="CapIncP31">#REF!</definedName>
    <definedName name="CapIncP32">#REF!</definedName>
    <definedName name="CapIncP33">#REF!</definedName>
    <definedName name="CapIncP34">#REF!</definedName>
    <definedName name="CapIncP35">#REF!</definedName>
    <definedName name="CapIncP36">#REF!</definedName>
    <definedName name="CapIncP37">#REF!</definedName>
    <definedName name="CapIncP38">#REF!</definedName>
    <definedName name="CapIncP39">#REF!</definedName>
    <definedName name="CapIncP4">#REF!</definedName>
    <definedName name="CapIncP40">#REF!</definedName>
    <definedName name="CapIncP41">#REF!</definedName>
    <definedName name="CapIncP42">#REF!</definedName>
    <definedName name="CapIncP43">#REF!</definedName>
    <definedName name="CapIncP44">#REF!</definedName>
    <definedName name="CapIncP45">#REF!</definedName>
    <definedName name="CapIncP46">#REF!</definedName>
    <definedName name="CapIncP47">#REF!</definedName>
    <definedName name="CapIncP48">#REF!</definedName>
    <definedName name="CapIncP49">#REF!</definedName>
    <definedName name="CapIncP5">#REF!</definedName>
    <definedName name="CapIncP50">#REF!</definedName>
    <definedName name="CapIncP51">#REF!</definedName>
    <definedName name="CapIncP52">#REF!</definedName>
    <definedName name="CapIncP53">#REF!</definedName>
    <definedName name="CapIncP54">#REF!</definedName>
    <definedName name="CapIncP55">#REF!</definedName>
    <definedName name="CapIncP56">#REF!</definedName>
    <definedName name="CapIncP57">#REF!</definedName>
    <definedName name="CapIncP58">#REF!</definedName>
    <definedName name="CapIncP59">#REF!</definedName>
    <definedName name="CapIncP6">#REF!</definedName>
    <definedName name="CapIncP60">#REF!</definedName>
    <definedName name="CapIncP61">#REF!</definedName>
    <definedName name="CapIncP62">#REF!</definedName>
    <definedName name="CapIncP63">#REF!</definedName>
    <definedName name="CapIncP64">#REF!</definedName>
    <definedName name="CapIncP65">#REF!</definedName>
    <definedName name="CapIncP66">#REF!</definedName>
    <definedName name="CapIncP67">#REF!</definedName>
    <definedName name="CapIncP68">#REF!</definedName>
    <definedName name="CapIncP7">#REF!</definedName>
    <definedName name="CapIncP8">#REF!</definedName>
    <definedName name="CapIncP9">#REF!</definedName>
    <definedName name="capp1">#REF!</definedName>
    <definedName name="Capp10">#REF!</definedName>
    <definedName name="Capp11">#REF!</definedName>
    <definedName name="CapP12">#REF!</definedName>
    <definedName name="CapP13">#REF!</definedName>
    <definedName name="CapP14">#REF!</definedName>
    <definedName name="CapP15">#REF!</definedName>
    <definedName name="CapP16">#REF!</definedName>
    <definedName name="CapP17">#REF!</definedName>
    <definedName name="CapP18">#REF!</definedName>
    <definedName name="CapP19">#REF!</definedName>
    <definedName name="Capp2">#REF!</definedName>
    <definedName name="CapP20">#REF!</definedName>
    <definedName name="CapP21">#REF!</definedName>
    <definedName name="CapP22">#REF!</definedName>
    <definedName name="CapP23">#REF!</definedName>
    <definedName name="CapP24">#REF!</definedName>
    <definedName name="CapP25">#REF!</definedName>
    <definedName name="CapP26">#REF!</definedName>
    <definedName name="CapP27">#REF!</definedName>
    <definedName name="CapP28">#REF!</definedName>
    <definedName name="CapP29">#REF!</definedName>
    <definedName name="Capp3">#REF!</definedName>
    <definedName name="CapP30">#REF!</definedName>
    <definedName name="CapP31">#REF!</definedName>
    <definedName name="CapP32">#REF!</definedName>
    <definedName name="CapP33">#REF!</definedName>
    <definedName name="CapP34">#REF!</definedName>
    <definedName name="CAPP35">#REF!</definedName>
    <definedName name="CAPP36">#REF!</definedName>
    <definedName name="CAPP37">#REF!</definedName>
    <definedName name="CAPP38">#REF!</definedName>
    <definedName name="CAPP39">#REF!</definedName>
    <definedName name="Capp4">#REF!</definedName>
    <definedName name="CAPP40">#REF!</definedName>
    <definedName name="CAPP41">#REF!</definedName>
    <definedName name="CAPP42">#REF!</definedName>
    <definedName name="CAPP43">#REF!</definedName>
    <definedName name="CAPP44">#REF!</definedName>
    <definedName name="CAPP45">#REF!</definedName>
    <definedName name="CAPP46">#REF!</definedName>
    <definedName name="CAPP47">#REF!</definedName>
    <definedName name="CAPP48">#REF!</definedName>
    <definedName name="CAPP49">#REF!</definedName>
    <definedName name="Capp5">#REF!</definedName>
    <definedName name="CAPP50">#REF!</definedName>
    <definedName name="CAPP51">#REF!</definedName>
    <definedName name="CAPP52">#REF!</definedName>
    <definedName name="CAPP53">#REF!</definedName>
    <definedName name="CAPP54">#REF!</definedName>
    <definedName name="CAPP55">#REF!</definedName>
    <definedName name="CAPP56">#REF!</definedName>
    <definedName name="CAPP57">#REF!</definedName>
    <definedName name="CAPP58">#REF!</definedName>
    <definedName name="CAPP59">#REF!</definedName>
    <definedName name="Capp6">#REF!</definedName>
    <definedName name="CAPP60">#REF!</definedName>
    <definedName name="CAPP61">#REF!</definedName>
    <definedName name="CAPP62">#REF!</definedName>
    <definedName name="CAPP63">#REF!</definedName>
    <definedName name="CAPP64">#REF!</definedName>
    <definedName name="CAPP65">#REF!</definedName>
    <definedName name="CAPP66">#REF!</definedName>
    <definedName name="CAPP67">#REF!</definedName>
    <definedName name="CAPP68">#REF!</definedName>
    <definedName name="Capp7">#REF!</definedName>
    <definedName name="Capp8">#REF!</definedName>
    <definedName name="Capp9">#REF!</definedName>
    <definedName name="Car_park_GFA">[3]GFA!#REF!</definedName>
    <definedName name="dbTitle_builder">[8]G2TempSheet!$C$4</definedName>
    <definedName name="dbTitle_projectname">[8]G2TempSheet!$D$4</definedName>
    <definedName name="dbTitle_title">[8]G2TempSheet!$B$4</definedName>
    <definedName name="Delievery_Quarter">[3]Control!#REF!</definedName>
    <definedName name="Discount_rate_I">#REF!</definedName>
    <definedName name="Discount_rate_II">#REF!</definedName>
    <definedName name="DocType">Word</definedName>
    <definedName name="million">'[9]Financial highligts'!$C$39</definedName>
    <definedName name="P200_PreLATRate">[3]Control!#REF!</definedName>
    <definedName name="P67_PreLATRate">[3]Control!#REF!</definedName>
    <definedName name="P68_PreLATRate">[3]Control!#REF!</definedName>
    <definedName name="payable_to_third_party">[3]Control!#REF!</definedName>
    <definedName name="pbPrinterFormat">"\\nhkgc040pps1\PHKG00311 on Ne03:"</definedName>
    <definedName name="receivable_from_third_party">[3]Control!#REF!</definedName>
    <definedName name="RMB">[10]Sheet1!$C$1</definedName>
    <definedName name="Share_Capital">[3]Control!#REF!</definedName>
    <definedName name="stakeP1">[3]Control!#REF!</definedName>
    <definedName name="stakeP10">[3]Control!#REF!</definedName>
    <definedName name="stakeP11">[3]Control!#REF!</definedName>
    <definedName name="stakeP12">[3]Control!#REF!</definedName>
    <definedName name="stakeP13">[3]Control!#REF!</definedName>
    <definedName name="stakeP14">[3]Control!#REF!</definedName>
    <definedName name="stakeP15">[3]Control!#REF!</definedName>
    <definedName name="stakeP16">[3]Control!#REF!</definedName>
    <definedName name="stakeP17">[3]Control!#REF!</definedName>
    <definedName name="stakeP18">[3]Control!#REF!</definedName>
    <definedName name="stakeP19">[3]Control!#REF!</definedName>
    <definedName name="stakeP2">[3]Control!#REF!</definedName>
    <definedName name="stakeP20">[3]Control!#REF!</definedName>
    <definedName name="stakeP21">[3]Control!#REF!</definedName>
    <definedName name="stakeP22">[3]Control!#REF!</definedName>
    <definedName name="stakeP23">[3]Control!#REF!</definedName>
    <definedName name="stakeP24">[3]Control!#REF!</definedName>
    <definedName name="stakeP25">[3]Control!#REF!</definedName>
    <definedName name="stakeP26">[3]Control!#REF!</definedName>
    <definedName name="stakeP27">[3]Control!#REF!</definedName>
    <definedName name="stakeP28">[3]Control!#REF!</definedName>
    <definedName name="stakeP29">[3]Control!#REF!</definedName>
    <definedName name="stakeP3">[3]Control!#REF!</definedName>
    <definedName name="stakeP30">[3]Control!#REF!</definedName>
    <definedName name="stakeP31">[3]Control!#REF!</definedName>
    <definedName name="stakeP32">[3]Control!#REF!</definedName>
    <definedName name="stakeP33">[3]Control!#REF!</definedName>
    <definedName name="stakeP34">[3]Control!#REF!</definedName>
    <definedName name="stakeP35">[3]Control!#REF!</definedName>
    <definedName name="stakeP36">[3]Control!#REF!</definedName>
    <definedName name="stakeP37">[3]Control!#REF!</definedName>
    <definedName name="stakeP38">[3]Control!#REF!</definedName>
    <definedName name="stakeP39">[3]Control!#REF!</definedName>
    <definedName name="stakeP4">[3]Control!#REF!</definedName>
    <definedName name="stakeP40">[3]Control!#REF!</definedName>
    <definedName name="stakeP41">[3]Control!#REF!</definedName>
    <definedName name="stakeP42">[3]Control!#REF!</definedName>
    <definedName name="stakeP43">[3]Control!#REF!</definedName>
    <definedName name="stakeP44">[3]Control!#REF!</definedName>
    <definedName name="stakeP45">[3]Control!#REF!</definedName>
    <definedName name="stakeP46">[3]Control!#REF!</definedName>
    <definedName name="stakeP47">[3]Control!#REF!</definedName>
    <definedName name="stakeP48">[3]Control!#REF!</definedName>
    <definedName name="stakeP49">[3]Control!#REF!</definedName>
    <definedName name="stakeP5">[3]Control!#REF!</definedName>
    <definedName name="stakeP50">[3]Control!#REF!</definedName>
    <definedName name="stakeP51">[3]Control!#REF!</definedName>
    <definedName name="stakeP52">[3]Control!#REF!</definedName>
    <definedName name="stakeP53">[3]Control!#REF!</definedName>
    <definedName name="stakeP54">[3]Control!#REF!</definedName>
    <definedName name="stakeP55">[3]Control!#REF!</definedName>
    <definedName name="stakeP56">[3]Control!#REF!</definedName>
    <definedName name="stakeP57">[3]Control!#REF!</definedName>
    <definedName name="stakeP58">[3]Control!#REF!</definedName>
    <definedName name="stakeP59">[3]Control!#REF!</definedName>
    <definedName name="stakeP6">[3]Control!#REF!</definedName>
    <definedName name="stakeP60">[3]Control!#REF!</definedName>
    <definedName name="stakeP61">[3]Control!#REF!</definedName>
    <definedName name="stakeP62">[3]Control!#REF!</definedName>
    <definedName name="stakeP63">[3]Control!#REF!</definedName>
    <definedName name="stakeP64">[3]Control!#REF!</definedName>
    <definedName name="stakeP65">[3]Control!#REF!</definedName>
    <definedName name="stakeP66">[3]Control!#REF!</definedName>
    <definedName name="stakeP67">[3]Control!#REF!</definedName>
    <definedName name="stakeP68">[3]Control!#REF!</definedName>
    <definedName name="stakeP7">[3]Control!#REF!</definedName>
    <definedName name="stakeP8">[3]Control!#REF!</definedName>
    <definedName name="stakeP9">[3]Control!#REF!</definedName>
    <definedName name="USD">'[9]Financial highligts'!$C$40</definedName>
    <definedName name="ValuationOffset">#REF!</definedName>
    <definedName name="wrn.All._.Stock_10_12_14." hidden="1">{"Has Gets","$10, All Stock, Purchase",FALSE,"Has Gets";"Has Gets","$10, All Stock, Pooling",FALSE,"Has Gets";"Has Gets","$12, All Stock, Purchase",FALSE,"Has Gets";"Has Gets","$12, All Stock, Pooling",FALSE,"Has Gets";"Has Gets","$14, All Stock, Purchase",FALSE,"Has Gets";"Has Gets","$14, All Stock, Pooling",FALSE,"Has Gets"}</definedName>
    <definedName name="部门">[11]参数!$A$2:$A$13</definedName>
    <definedName name="开发间接费用">#REF!</definedName>
    <definedName name="_xlnm._FilterDatabase" localSheetId="5" hidden="1">投資收回現金預算表!$A$1:$V$29</definedName>
    <definedName name="_xlnm._FilterDatabase" localSheetId="8" hidden="1">財務費用!$A$1:$V$13</definedName>
  </definedNames>
  <calcPr calcId="144525"/>
</workbook>
</file>

<file path=xl/comments1.xml><?xml version="1.0" encoding="utf-8"?>
<comments xmlns="http://schemas.openxmlformats.org/spreadsheetml/2006/main">
  <authors>
    <author>唐榮軍</author>
  </authors>
  <commentList>
    <comment ref="V6" authorId="0">
      <text>
        <r>
          <rPr>
            <b/>
            <sz val="10"/>
            <rFont val="宋体"/>
            <charset val="134"/>
          </rPr>
          <t>唐榮軍:</t>
        </r>
        <r>
          <rPr>
            <sz val="10"/>
            <rFont val="宋体"/>
            <charset val="134"/>
          </rPr>
          <t xml:space="preserve">
銷售率:
(1年簽約面積:平米+12年簽約面積:平米)/可售面積:平米=100%</t>
        </r>
      </text>
    </comment>
  </commentList>
</comments>
</file>

<file path=xl/sharedStrings.xml><?xml version="1.0" encoding="utf-8"?>
<sst xmlns="http://schemas.openxmlformats.org/spreadsheetml/2006/main" count="555" uniqueCount="357">
  <si>
    <t>預   計  資  金  流  量   表</t>
  </si>
  <si>
    <t>編制單位：</t>
  </si>
  <si>
    <t>預算年度：</t>
  </si>
  <si>
    <t>製表人：</t>
  </si>
  <si>
    <t>專案</t>
  </si>
  <si>
    <t>內容</t>
  </si>
  <si>
    <r>
      <rPr>
        <sz val="10"/>
        <rFont val="微软雅黑"/>
        <charset val="134"/>
      </rPr>
      <t>1</t>
    </r>
    <r>
      <rPr>
        <sz val="10"/>
        <rFont val="微软雅黑"/>
        <charset val="134"/>
      </rPr>
      <t>季度</t>
    </r>
  </si>
  <si>
    <r>
      <rPr>
        <sz val="10"/>
        <rFont val="微软雅黑"/>
        <charset val="134"/>
      </rPr>
      <t>1</t>
    </r>
    <r>
      <rPr>
        <sz val="10"/>
        <rFont val="微软雅黑"/>
        <charset val="134"/>
      </rPr>
      <t>月</t>
    </r>
  </si>
  <si>
    <r>
      <rPr>
        <sz val="10"/>
        <rFont val="微软雅黑"/>
        <charset val="134"/>
      </rPr>
      <t>2</t>
    </r>
    <r>
      <rPr>
        <sz val="10"/>
        <rFont val="微软雅黑"/>
        <charset val="134"/>
      </rPr>
      <t>月</t>
    </r>
  </si>
  <si>
    <r>
      <rPr>
        <sz val="10"/>
        <rFont val="微软雅黑"/>
        <charset val="134"/>
      </rPr>
      <t>3</t>
    </r>
    <r>
      <rPr>
        <sz val="10"/>
        <rFont val="微软雅黑"/>
        <charset val="134"/>
      </rPr>
      <t>月</t>
    </r>
  </si>
  <si>
    <r>
      <rPr>
        <sz val="10"/>
        <rFont val="微软雅黑"/>
        <charset val="134"/>
      </rPr>
      <t>2</t>
    </r>
    <r>
      <rPr>
        <sz val="10"/>
        <rFont val="微软雅黑"/>
        <charset val="134"/>
      </rPr>
      <t>季度</t>
    </r>
  </si>
  <si>
    <r>
      <rPr>
        <sz val="10"/>
        <rFont val="微软雅黑"/>
        <charset val="134"/>
      </rPr>
      <t>4</t>
    </r>
    <r>
      <rPr>
        <sz val="10"/>
        <rFont val="微软雅黑"/>
        <charset val="134"/>
      </rPr>
      <t>月</t>
    </r>
  </si>
  <si>
    <r>
      <rPr>
        <sz val="10"/>
        <rFont val="微软雅黑"/>
        <charset val="134"/>
      </rPr>
      <t>5</t>
    </r>
    <r>
      <rPr>
        <sz val="10"/>
        <rFont val="微软雅黑"/>
        <charset val="134"/>
      </rPr>
      <t>月</t>
    </r>
  </si>
  <si>
    <r>
      <rPr>
        <sz val="10"/>
        <rFont val="微软雅黑"/>
        <charset val="134"/>
      </rPr>
      <t>6</t>
    </r>
    <r>
      <rPr>
        <sz val="10"/>
        <rFont val="微软雅黑"/>
        <charset val="134"/>
      </rPr>
      <t>月</t>
    </r>
  </si>
  <si>
    <r>
      <rPr>
        <sz val="10"/>
        <rFont val="微软雅黑"/>
        <charset val="134"/>
      </rPr>
      <t>3</t>
    </r>
    <r>
      <rPr>
        <sz val="10"/>
        <rFont val="微软雅黑"/>
        <charset val="134"/>
      </rPr>
      <t>季度</t>
    </r>
  </si>
  <si>
    <r>
      <rPr>
        <sz val="10"/>
        <rFont val="微软雅黑"/>
        <charset val="134"/>
      </rPr>
      <t>7</t>
    </r>
    <r>
      <rPr>
        <sz val="10"/>
        <rFont val="微软雅黑"/>
        <charset val="134"/>
      </rPr>
      <t>月</t>
    </r>
  </si>
  <si>
    <r>
      <rPr>
        <sz val="10"/>
        <rFont val="微软雅黑"/>
        <charset val="134"/>
      </rPr>
      <t>8</t>
    </r>
    <r>
      <rPr>
        <sz val="10"/>
        <rFont val="微软雅黑"/>
        <charset val="134"/>
      </rPr>
      <t>月</t>
    </r>
  </si>
  <si>
    <r>
      <rPr>
        <sz val="10"/>
        <rFont val="微软雅黑"/>
        <charset val="134"/>
      </rPr>
      <t>9</t>
    </r>
    <r>
      <rPr>
        <sz val="10"/>
        <rFont val="微软雅黑"/>
        <charset val="134"/>
      </rPr>
      <t>月</t>
    </r>
  </si>
  <si>
    <r>
      <rPr>
        <sz val="10"/>
        <rFont val="微软雅黑"/>
        <charset val="134"/>
      </rPr>
      <t>4</t>
    </r>
    <r>
      <rPr>
        <sz val="10"/>
        <rFont val="微软雅黑"/>
        <charset val="134"/>
      </rPr>
      <t>季度</t>
    </r>
  </si>
  <si>
    <r>
      <rPr>
        <sz val="10"/>
        <rFont val="微软雅黑"/>
        <charset val="134"/>
      </rPr>
      <t>10</t>
    </r>
    <r>
      <rPr>
        <sz val="10"/>
        <rFont val="微软雅黑"/>
        <charset val="134"/>
      </rPr>
      <t>月</t>
    </r>
  </si>
  <si>
    <r>
      <rPr>
        <sz val="10"/>
        <rFont val="微软雅黑"/>
        <charset val="134"/>
      </rPr>
      <t>11</t>
    </r>
    <r>
      <rPr>
        <sz val="10"/>
        <rFont val="微软雅黑"/>
        <charset val="134"/>
      </rPr>
      <t>月</t>
    </r>
  </si>
  <si>
    <r>
      <rPr>
        <sz val="10"/>
        <rFont val="微软雅黑"/>
        <charset val="134"/>
      </rPr>
      <t>12</t>
    </r>
    <r>
      <rPr>
        <sz val="10"/>
        <rFont val="微软雅黑"/>
        <charset val="134"/>
      </rPr>
      <t>月</t>
    </r>
  </si>
  <si>
    <t>全年合計</t>
  </si>
  <si>
    <t>一、經營活動現金流量</t>
  </si>
  <si>
    <t>現金流入</t>
  </si>
  <si>
    <t>主營業務現金收入</t>
  </si>
  <si>
    <t>房屋開發收入</t>
  </si>
  <si>
    <t>其他業務現金收入</t>
  </si>
  <si>
    <t>收到的稅費返還</t>
  </si>
  <si>
    <t>收到的其他與經營活動有關的現金</t>
  </si>
  <si>
    <t>經營活動產生現金流入小計</t>
  </si>
  <si>
    <t>現金流出</t>
  </si>
  <si>
    <t>１、主營業務成本現金支出</t>
  </si>
  <si>
    <t>其中：商品房開發成本支出</t>
  </si>
  <si>
    <t>２、其他業務支出現金支出</t>
  </si>
  <si>
    <t>（一）成本現金支出小計</t>
  </si>
  <si>
    <t>1、管理費用現金支出</t>
  </si>
  <si>
    <t>2、銷售費用現金支出</t>
  </si>
  <si>
    <t>（二）期間費用支出小計</t>
  </si>
  <si>
    <t>（三）各項稅費支出小計</t>
  </si>
  <si>
    <t>（四）支付的其他與經營活動有關的現金</t>
  </si>
  <si>
    <t>經營活動產生現金流出小計</t>
  </si>
  <si>
    <t>經營活動產生的現金流量淨額</t>
  </si>
  <si>
    <t>二、投資活動現金流量</t>
  </si>
  <si>
    <t>收回投資本金所收到的現金</t>
  </si>
  <si>
    <t>取得投資收益所收到的現金</t>
  </si>
  <si>
    <t>處置非流動資產收到的現金淨額</t>
  </si>
  <si>
    <t>處置子公司及其他營業單位收到的現金淨額</t>
  </si>
  <si>
    <t>收到的其他與投資活動有關的現金</t>
  </si>
  <si>
    <t>（二）投資活動產生現金流入小計</t>
  </si>
  <si>
    <t>1、購置非流動資產支出現金</t>
  </si>
  <si>
    <t>2、長期股權投資</t>
  </si>
  <si>
    <t>3、股票投資</t>
  </si>
  <si>
    <t>3、債券投資</t>
  </si>
  <si>
    <t>4、支付的其他與投資活動有關的現金</t>
  </si>
  <si>
    <t>投資活動產生現金流出小計</t>
  </si>
  <si>
    <t>投資活動產生的現金流量淨額</t>
  </si>
  <si>
    <t>三、籌資活動現金流量</t>
  </si>
  <si>
    <t>吸收投資所收到的現金</t>
  </si>
  <si>
    <t>借款收到的現金</t>
  </si>
  <si>
    <t>收到的其他與籌資活動有關的現金</t>
  </si>
  <si>
    <t>（三）籌資活動產生現金流入小計</t>
  </si>
  <si>
    <t>1、償還債務所支付的現金</t>
  </si>
  <si>
    <t>3、財務費用現金支出</t>
  </si>
  <si>
    <t>2、分配股利或利潤付現</t>
  </si>
  <si>
    <t>3、支付的其他與籌資活動有關的現金</t>
  </si>
  <si>
    <t>籌資活動產生現金流出小計</t>
  </si>
  <si>
    <t>籌資活動產生的現金流量淨額</t>
  </si>
  <si>
    <t>現金流出合計</t>
  </si>
  <si>
    <t>現金流入合計</t>
  </si>
  <si>
    <t>三、現金淨流量</t>
  </si>
  <si>
    <t>四、期初餘額</t>
  </si>
  <si>
    <t>五、期末餘額</t>
  </si>
  <si>
    <t>主營成本支出現金預算表</t>
  </si>
  <si>
    <t>專案名稱</t>
  </si>
  <si>
    <t>專案預算總額</t>
  </si>
  <si>
    <t>上年餘額</t>
  </si>
  <si>
    <t>本年預計現金流出量</t>
  </si>
  <si>
    <t>本年結轉額</t>
  </si>
  <si>
    <t>本年餘額</t>
  </si>
  <si>
    <t>應付帳款</t>
  </si>
  <si>
    <t>預算責任人</t>
  </si>
  <si>
    <t>１季度</t>
  </si>
  <si>
    <t>1月</t>
  </si>
  <si>
    <t>2月</t>
  </si>
  <si>
    <t>3月</t>
  </si>
  <si>
    <t>２季度</t>
  </si>
  <si>
    <t>4月</t>
  </si>
  <si>
    <t>5月</t>
  </si>
  <si>
    <t>6月</t>
  </si>
  <si>
    <t>３季度</t>
  </si>
  <si>
    <t>7月</t>
  </si>
  <si>
    <t>8月</t>
  </si>
  <si>
    <t>9月</t>
  </si>
  <si>
    <t>４季度</t>
  </si>
  <si>
    <t>10月</t>
  </si>
  <si>
    <t>11月</t>
  </si>
  <si>
    <t>12月</t>
  </si>
  <si>
    <t>合計</t>
  </si>
  <si>
    <t>轉入完工產品</t>
  </si>
  <si>
    <t>轉入銷售成本</t>
  </si>
  <si>
    <t>一、專案1</t>
  </si>
  <si>
    <t>土地費</t>
  </si>
  <si>
    <t>前期工程費</t>
  </si>
  <si>
    <t>建安及裝修工程費</t>
  </si>
  <si>
    <t>基礎設施費</t>
  </si>
  <si>
    <t>配套設施費</t>
  </si>
  <si>
    <t>開發間接費</t>
  </si>
  <si>
    <t>預提結算成本</t>
  </si>
  <si>
    <t>小計</t>
  </si>
  <si>
    <t>二、專案2</t>
  </si>
  <si>
    <t>三、專案3</t>
  </si>
  <si>
    <t>合   計</t>
  </si>
  <si>
    <t>編制說明：</t>
  </si>
  <si>
    <t>1、專案預算總額：指專案工程預計總投資額；</t>
  </si>
  <si>
    <t>2、上年餘額：指以前年度累計現金支付額-結轉成本後的期末餘額；</t>
  </si>
  <si>
    <t>3、本年現金預計流出量：指按照各個專案的經營計畫將年度預計現金支付額分解到各月份；</t>
  </si>
  <si>
    <t>4、本年結轉額：指按照權責發生制原則本年應該結轉的成本數和未售出商品房結轉開發產品數；</t>
  </si>
  <si>
    <t>5、本年餘額：指至本年底未結轉成本的餘額；</t>
  </si>
  <si>
    <t>6、成本部應按目標動態成本科目體系編制明細表格支持本表。</t>
  </si>
  <si>
    <t xml:space="preserve">管理費用現金預算表      </t>
  </si>
  <si>
    <t>項    目</t>
  </si>
  <si>
    <t>計畫時間</t>
  </si>
  <si>
    <t>上年</t>
  </si>
  <si>
    <t>全年</t>
  </si>
  <si>
    <t>本年未付</t>
  </si>
  <si>
    <t>上年實際</t>
  </si>
  <si>
    <t>增減數</t>
  </si>
  <si>
    <t>增減（％）</t>
  </si>
  <si>
    <t>現金支付專案</t>
  </si>
  <si>
    <t>薪酬費用</t>
  </si>
  <si>
    <t>工資</t>
  </si>
  <si>
    <t>獎金</t>
  </si>
  <si>
    <t>福利費</t>
  </si>
  <si>
    <t>伙食費</t>
  </si>
  <si>
    <t>收溫費</t>
  </si>
  <si>
    <t>房租水電費</t>
  </si>
  <si>
    <t>體檢費</t>
  </si>
  <si>
    <t>節日補貼</t>
  </si>
  <si>
    <t>個人補貼</t>
  </si>
  <si>
    <t>住房補貼</t>
  </si>
  <si>
    <t>交通補貼</t>
  </si>
  <si>
    <t>通訊補貼</t>
  </si>
  <si>
    <t>活動經費</t>
  </si>
  <si>
    <t>其他</t>
  </si>
  <si>
    <t>工會經費</t>
  </si>
  <si>
    <t>職工教育經費</t>
  </si>
  <si>
    <t>職工五險</t>
  </si>
  <si>
    <t>住房公積金</t>
  </si>
  <si>
    <t>企業年金</t>
  </si>
  <si>
    <t>商業保險</t>
  </si>
  <si>
    <t>辭退福利</t>
  </si>
  <si>
    <t>服裝費</t>
  </si>
  <si>
    <t>午餐費</t>
  </si>
  <si>
    <t>旅遊費</t>
  </si>
  <si>
    <t>電話費用</t>
  </si>
  <si>
    <t>辦公水費</t>
  </si>
  <si>
    <t>辦公電費</t>
  </si>
  <si>
    <t>辦公用品</t>
  </si>
  <si>
    <t>差旅費</t>
  </si>
  <si>
    <t>車輛交通費用</t>
  </si>
  <si>
    <t>業務招待費</t>
  </si>
  <si>
    <t>勞動保護費</t>
  </si>
  <si>
    <t>書刊費用</t>
  </si>
  <si>
    <t>修理費</t>
  </si>
  <si>
    <t>財產保險費</t>
  </si>
  <si>
    <t>招聘費用</t>
  </si>
  <si>
    <t>管理稅費</t>
  </si>
  <si>
    <t>印花稅</t>
  </si>
  <si>
    <t>土地使用稅</t>
  </si>
  <si>
    <t>房產稅</t>
  </si>
  <si>
    <t>車船稅</t>
  </si>
  <si>
    <t>契稅</t>
  </si>
  <si>
    <t>仲介費用</t>
  </si>
  <si>
    <t>審計費</t>
  </si>
  <si>
    <t>綠色費</t>
  </si>
  <si>
    <t>諮詢費</t>
  </si>
  <si>
    <t>驗資費</t>
  </si>
  <si>
    <t>評估費</t>
  </si>
  <si>
    <t>會員費</t>
  </si>
  <si>
    <t>環境費</t>
  </si>
  <si>
    <t>清潔費用</t>
  </si>
  <si>
    <t>綠化費用</t>
  </si>
  <si>
    <t>消殺費用</t>
  </si>
  <si>
    <t>節日佈置</t>
  </si>
  <si>
    <t>物業管理費</t>
  </si>
  <si>
    <t>租金</t>
  </si>
  <si>
    <t>總部管理費</t>
  </si>
  <si>
    <t>會議費用</t>
  </si>
  <si>
    <t>董事會費</t>
  </si>
  <si>
    <t>黨團活動費用</t>
  </si>
  <si>
    <t>品牌管理費</t>
  </si>
  <si>
    <t>捐贈費</t>
  </si>
  <si>
    <t>專項費用</t>
  </si>
  <si>
    <t>非現金支出專案</t>
  </si>
  <si>
    <t>固定資產折扣</t>
  </si>
  <si>
    <t>無形資產攤銷</t>
  </si>
  <si>
    <t>遞延資產攤銷</t>
  </si>
  <si>
    <t>長期待攤費用攤銷</t>
  </si>
  <si>
    <t>資產減值損失</t>
  </si>
  <si>
    <t>壞賬損失</t>
  </si>
  <si>
    <t>存貨跌價損失</t>
  </si>
  <si>
    <t>合同預計損失</t>
  </si>
  <si>
    <t>長期投資減值損失</t>
  </si>
  <si>
    <t>固定資產減值損失</t>
  </si>
  <si>
    <t>無形資產減值損失</t>
  </si>
  <si>
    <t>在建工程減值損失</t>
  </si>
  <si>
    <t>工程物資減值損失</t>
  </si>
  <si>
    <t>持有至到期投資減值損失</t>
  </si>
  <si>
    <t>商譽減值損失</t>
  </si>
  <si>
    <t>投資性房地產減值損失</t>
  </si>
  <si>
    <t>其他非現金支出專案</t>
  </si>
  <si>
    <t xml:space="preserve">    合      計</t>
  </si>
  <si>
    <t>1、費用專案應按“重大支出優先”原則列示，列入“其他”的支出不應超過總額的5％。</t>
  </si>
  <si>
    <t>2、錄入“現金流量表”的數據按照本表的“現金支付專案”小計數填列。</t>
  </si>
  <si>
    <t>3、低值易耗品攤銷：假設當年發生，當年全額結轉，如有金額較大支出，在資產負債表“存貨”專案中列示，並在“附注”中說明。</t>
  </si>
  <si>
    <t xml:space="preserve"> 銷售費用現金預算表</t>
  </si>
  <si>
    <t>全年預計現金流出量</t>
  </si>
  <si>
    <t>一季度</t>
  </si>
  <si>
    <t>二季度</t>
  </si>
  <si>
    <t>三季度</t>
  </si>
  <si>
    <t>四季度</t>
  </si>
  <si>
    <t>銷售費用</t>
  </si>
  <si>
    <t>行銷費用</t>
  </si>
  <si>
    <t>廣告費</t>
  </si>
  <si>
    <t>報紙廣告</t>
  </si>
  <si>
    <t>電視廣告</t>
  </si>
  <si>
    <t>戶外廣告</t>
  </si>
  <si>
    <t>網路廣告</t>
  </si>
  <si>
    <t>短信廣告</t>
  </si>
  <si>
    <t>其他廣告(道旗)</t>
  </si>
  <si>
    <t>活動推廣費</t>
  </si>
  <si>
    <t>開盤活動費</t>
  </si>
  <si>
    <t>促銷活動費</t>
  </si>
  <si>
    <t>展銷會費</t>
  </si>
  <si>
    <t>入夥活動費</t>
  </si>
  <si>
    <t>其他活動推廣費</t>
  </si>
  <si>
    <t>賣場包裝費</t>
  </si>
  <si>
    <t>售樓處包裝費　</t>
  </si>
  <si>
    <t>樣板房包裝費</t>
  </si>
  <si>
    <t>場景包裝費</t>
  </si>
  <si>
    <t>道具購置費</t>
  </si>
  <si>
    <t>其他賣場包裝費
（圍牆及導視牌）</t>
  </si>
  <si>
    <t>銷售管理費</t>
  </si>
  <si>
    <t>行銷人員薪酬</t>
  </si>
  <si>
    <t>賣場物管費</t>
  </si>
  <si>
    <t>銷售辦公費</t>
  </si>
  <si>
    <t>銷售電話費</t>
  </si>
  <si>
    <t>銷售水電費</t>
  </si>
  <si>
    <t>銷售業務費</t>
  </si>
  <si>
    <t>樣板房費用（管理費）</t>
  </si>
  <si>
    <t>其他銷售管理費</t>
  </si>
  <si>
    <t>車輛費</t>
  </si>
  <si>
    <t>其他配套設施費</t>
  </si>
  <si>
    <t>諮詢代理費</t>
  </si>
  <si>
    <t>策劃諮詢費</t>
  </si>
  <si>
    <t>代理傭金</t>
  </si>
  <si>
    <t>其他諮詢代理費(廣告
公司費用)</t>
  </si>
  <si>
    <t>簽約律師代理費</t>
  </si>
  <si>
    <t>其他行銷費(固定分攤、
不可預見費用)</t>
  </si>
  <si>
    <t>售後服務費用</t>
  </si>
  <si>
    <t>售後維修費</t>
  </si>
  <si>
    <t>業主索賠損失</t>
  </si>
  <si>
    <t>其他售後服務費</t>
  </si>
  <si>
    <t>物業補償費用</t>
  </si>
  <si>
    <t>空置物業管理費</t>
  </si>
  <si>
    <t>物業管理開支補貼</t>
  </si>
  <si>
    <t>物業專項補貼</t>
  </si>
  <si>
    <t>其他物業補償費</t>
  </si>
  <si>
    <t>其他銷售費用</t>
  </si>
  <si>
    <t>固定資產折舊</t>
  </si>
  <si>
    <t>月銷售收入</t>
  </si>
  <si>
    <t>月行銷費用（不含廣告與代理費）占月銷售收入比例</t>
  </si>
  <si>
    <t>月行銷費用（含廣告與代理費）占月銷售收入比例</t>
  </si>
  <si>
    <t>1、費用專案應按“重大支出優先”原則列示，列入“其他”的支出不應超過總額的5％</t>
  </si>
  <si>
    <t>3、對於售樓處、樣板房的日常費用(保安、清潔、維修及相關物料應編制明細支持表格明確到具體的管理單位、測算物業人均成本等)</t>
  </si>
  <si>
    <t xml:space="preserve">各項稅費支出現金預算表 </t>
  </si>
  <si>
    <t>稅費名稱</t>
  </si>
  <si>
    <t>計算依據</t>
  </si>
  <si>
    <t>稅費率％</t>
  </si>
  <si>
    <t>本期預計現金流出額</t>
  </si>
  <si>
    <t>1季度</t>
  </si>
  <si>
    <t>2季度</t>
  </si>
  <si>
    <t>3季度</t>
  </si>
  <si>
    <t>4季度</t>
  </si>
  <si>
    <t>營業稅</t>
  </si>
  <si>
    <t>銷售額</t>
  </si>
  <si>
    <t>城建稅</t>
  </si>
  <si>
    <t>營業稅額</t>
  </si>
  <si>
    <t>教育費附加（中央）</t>
  </si>
  <si>
    <t>教育費附加（地方）</t>
  </si>
  <si>
    <t>堤圍費</t>
  </si>
  <si>
    <t>預繳土地增值稅</t>
  </si>
  <si>
    <t>清算土地增值稅</t>
  </si>
  <si>
    <t>清算結果調整</t>
  </si>
  <si>
    <t>企業所得稅</t>
  </si>
  <si>
    <t>房產稅及土地使用稅</t>
  </si>
  <si>
    <t>合  計</t>
  </si>
  <si>
    <t>注：不包括印花稅、車輛管理費等應列入期間費用的專案。</t>
  </si>
  <si>
    <t>投資收回現金預算表</t>
  </si>
  <si>
    <t>項   目</t>
  </si>
  <si>
    <t>本年期初數</t>
  </si>
  <si>
    <t>本年預計追加投資額</t>
  </si>
  <si>
    <t>至本年末預計累計投資額</t>
  </si>
  <si>
    <t>全年預計現金流入量</t>
  </si>
  <si>
    <t>一、股票名稱</t>
  </si>
  <si>
    <t>股票1</t>
  </si>
  <si>
    <t>本金收回</t>
  </si>
  <si>
    <t>投資收益</t>
  </si>
  <si>
    <t>股票2</t>
  </si>
  <si>
    <t>二、債權投資</t>
  </si>
  <si>
    <t>債券1</t>
  </si>
  <si>
    <t>債券2</t>
  </si>
  <si>
    <t>1、本年期初數：指投資專案預算年度期初餘額</t>
  </si>
  <si>
    <t>2、本年預計追加投資額：指對以前年度投資專案本年追加投資額</t>
  </si>
  <si>
    <t>3、至本年末預計累計投資額：指至本年末對投資專案的累計投資額</t>
  </si>
  <si>
    <t>4、全年預計現金流入量：指按照投資專案預計收回本金和投資收益的現金數，分月份列示</t>
  </si>
  <si>
    <t>5、股票名稱：指將閒置資金投資於股票二級市場的短期投資行為現金支出</t>
  </si>
  <si>
    <t>6、債權投資：指將閒置資金投資於債券市場的短期行為現金支出</t>
  </si>
  <si>
    <t>7、如果資產變現時發生虧損，投資收益則以“－”填列；“本金收回”根據資產變現比例填列</t>
  </si>
  <si>
    <t xml:space="preserve">  購置非流動資產支出現金預算表</t>
  </si>
  <si>
    <t>名稱</t>
  </si>
  <si>
    <t>規格</t>
  </si>
  <si>
    <t>數量</t>
  </si>
  <si>
    <t>單價</t>
  </si>
  <si>
    <t>總價</t>
  </si>
  <si>
    <t>年度合計</t>
  </si>
  <si>
    <t>固定資產：</t>
  </si>
  <si>
    <t>電腦</t>
  </si>
  <si>
    <t>無形資產</t>
  </si>
  <si>
    <t>其他長期資產</t>
  </si>
  <si>
    <t>合     計</t>
  </si>
  <si>
    <t>注：包括固定資產購置、無形資產和增加其他長期資產等。</t>
  </si>
  <si>
    <t xml:space="preserve">         投資支出現金預算表       </t>
  </si>
  <si>
    <t>本期預計追加投資現金流出額</t>
  </si>
  <si>
    <t>一、長期股權投資</t>
  </si>
  <si>
    <t>小 計</t>
  </si>
  <si>
    <t>二、股票投資</t>
  </si>
  <si>
    <t>三、債券投資</t>
  </si>
  <si>
    <t>小  計</t>
  </si>
  <si>
    <t>四、支付的其他與投資活動有關的現金</t>
  </si>
  <si>
    <t>2、本期預計追加投資現金流出額：指按照投資專案預計追加的本金現金流出數</t>
  </si>
  <si>
    <t>3、長期股權投資：指作為參股或控股股東直接投資到企業的現金支出</t>
  </si>
  <si>
    <t>4、股票投資：指將閒置資金投資於股票二級市場現金支出</t>
  </si>
  <si>
    <t>5、債權投資：指將閒置資金投資於債券市場的短期行為現金支出</t>
  </si>
  <si>
    <t>財務費用</t>
  </si>
  <si>
    <t>本年合計</t>
  </si>
  <si>
    <t>增減（%）</t>
  </si>
  <si>
    <t>利息支出</t>
  </si>
  <si>
    <t>其中：期間損益</t>
  </si>
  <si>
    <t xml:space="preserve">      往來</t>
  </si>
  <si>
    <t xml:space="preserve">      資本化利息</t>
  </si>
  <si>
    <t>存款利息收入</t>
  </si>
  <si>
    <t>匯兌損失（收益）</t>
  </si>
  <si>
    <t>金融機構手續費</t>
  </si>
  <si>
    <t>注：1、利息收入以“-”號表示。</t>
  </si>
  <si>
    <t xml:space="preserve">       2、財務費用支出：不含進入開發成本的資本化利息。</t>
  </si>
</sst>
</file>

<file path=xl/styles.xml><?xml version="1.0" encoding="utf-8"?>
<styleSheet xmlns="http://schemas.openxmlformats.org/spreadsheetml/2006/main">
  <numFmts count="22">
    <numFmt numFmtId="41" formatCode="_ * #,##0_ ;_ * \-#,##0_ ;_ * &quot;-&quot;_ ;_ @_ "/>
    <numFmt numFmtId="43" formatCode="_ * #,##0.00_ ;_ * \-#,##0.00_ ;_ * &quot;-&quot;??_ ;_ @_ "/>
    <numFmt numFmtId="42" formatCode="_ &quot;￥&quot;* #,##0_ ;_ &quot;￥&quot;* \-#,##0_ ;_ &quot;￥&quot;* &quot;-&quot;_ ;_ @_ "/>
    <numFmt numFmtId="44" formatCode="_ &quot;￥&quot;* #,##0.00_ ;_ &quot;￥&quot;* \-#,##0.00_ ;_ &quot;￥&quot;* &quot;-&quot;??_ ;_ @_ "/>
    <numFmt numFmtId="176" formatCode="_(* #,##0.00_);_(* \(#,##0.00\);_(* &quot;-&quot;??_);_(@_)"/>
    <numFmt numFmtId="177" formatCode="mmm\-d\-yyyy"/>
    <numFmt numFmtId="178" formatCode="mmm\-yyyy"/>
    <numFmt numFmtId="179" formatCode="#,##0.0_);[Red]\(#,##0.0\)"/>
    <numFmt numFmtId="180" formatCode="#,##0.0\x_);[Red]\(#,##0.0\x\);&quot;--  &quot;"/>
    <numFmt numFmtId="181" formatCode="0.0"/>
    <numFmt numFmtId="182" formatCode="_(* #,##0_);_(* \(#,##0\);_(* &quot;-&quot;_);_(@_)"/>
    <numFmt numFmtId="183" formatCode="0.00_);[Red]\(0.00\)"/>
    <numFmt numFmtId="184" formatCode="0.000000_);\(0.000000\)"/>
    <numFmt numFmtId="185" formatCode="0.0%"/>
    <numFmt numFmtId="186" formatCode="0_ "/>
    <numFmt numFmtId="187" formatCode="#,##0.00_ "/>
    <numFmt numFmtId="188" formatCode="#,##0.00\ "/>
    <numFmt numFmtId="189" formatCode="_ * #,##0_ ;_ * \-#,##0_ ;_ * &quot;-&quot;??_ ;_ @_ "/>
    <numFmt numFmtId="190" formatCode="yyyy&quot;年&quot;m&quot;月&quot;;@"/>
    <numFmt numFmtId="191" formatCode="m&quot;月&quot;"/>
    <numFmt numFmtId="192" formatCode="0_);[Red]\(0\)"/>
    <numFmt numFmtId="193" formatCode="0.00_ "/>
  </numFmts>
  <fonts count="48">
    <font>
      <sz val="12"/>
      <name val="宋体"/>
      <charset val="134"/>
    </font>
    <font>
      <sz val="10"/>
      <name val="微软雅黑"/>
      <charset val="134"/>
    </font>
    <font>
      <sz val="18"/>
      <name val="微软雅黑"/>
      <charset val="134"/>
    </font>
    <font>
      <b/>
      <sz val="10"/>
      <name val="微软雅黑"/>
      <charset val="134"/>
    </font>
    <font>
      <i/>
      <sz val="10"/>
      <name val="微软雅黑"/>
      <charset val="134"/>
    </font>
    <font>
      <sz val="11"/>
      <name val="宋体"/>
      <charset val="134"/>
    </font>
    <font>
      <sz val="18"/>
      <name val="宋体"/>
      <charset val="134"/>
    </font>
    <font>
      <sz val="10"/>
      <name val="宋体"/>
      <charset val="134"/>
    </font>
    <font>
      <b/>
      <sz val="12"/>
      <name val="宋体"/>
      <charset val="134"/>
    </font>
    <font>
      <sz val="10"/>
      <color indexed="8"/>
      <name val="微软雅黑"/>
      <charset val="134"/>
    </font>
    <font>
      <b/>
      <sz val="10"/>
      <color indexed="8"/>
      <name val="微软雅黑"/>
      <charset val="134"/>
    </font>
    <font>
      <u/>
      <sz val="10"/>
      <color indexed="12"/>
      <name val="微软雅黑"/>
      <charset val="134"/>
    </font>
    <font>
      <sz val="11"/>
      <color rgb="FF9C0006"/>
      <name val="宋体"/>
      <charset val="0"/>
      <scheme val="minor"/>
    </font>
    <font>
      <sz val="11"/>
      <color theme="1"/>
      <name val="宋体"/>
      <charset val="0"/>
      <scheme val="minor"/>
    </font>
    <font>
      <b/>
      <sz val="8"/>
      <name val="Arial"/>
      <charset val="134"/>
    </font>
    <font>
      <b/>
      <sz val="11"/>
      <color theme="3"/>
      <name val="宋体"/>
      <charset val="134"/>
      <scheme val="minor"/>
    </font>
    <font>
      <b/>
      <sz val="11"/>
      <color rgb="FFFFFFFF"/>
      <name val="宋体"/>
      <charset val="0"/>
      <scheme val="minor"/>
    </font>
    <font>
      <sz val="11"/>
      <color theme="1"/>
      <name val="宋体"/>
      <charset val="134"/>
      <scheme val="minor"/>
    </font>
    <font>
      <sz val="11"/>
      <color theme="0"/>
      <name val="宋体"/>
      <charset val="0"/>
      <scheme val="minor"/>
    </font>
    <font>
      <sz val="11"/>
      <color rgb="FF9C6500"/>
      <name val="宋体"/>
      <charset val="0"/>
      <scheme val="minor"/>
    </font>
    <font>
      <sz val="11"/>
      <color rgb="FF3F3F76"/>
      <name val="宋体"/>
      <charset val="0"/>
      <scheme val="minor"/>
    </font>
    <font>
      <sz val="11"/>
      <color rgb="FF006100"/>
      <name val="宋体"/>
      <charset val="0"/>
      <scheme val="minor"/>
    </font>
    <font>
      <b/>
      <sz val="11"/>
      <color rgb="FFFA7D00"/>
      <name val="宋体"/>
      <charset val="0"/>
      <scheme val="minor"/>
    </font>
    <font>
      <sz val="8"/>
      <name val="Arial"/>
      <charset val="134"/>
    </font>
    <font>
      <b/>
      <sz val="11"/>
      <color rgb="FF3F3F3F"/>
      <name val="宋体"/>
      <charset val="0"/>
      <scheme val="minor"/>
    </font>
    <font>
      <u/>
      <sz val="12"/>
      <color indexed="12"/>
      <name val="宋体"/>
      <charset val="134"/>
    </font>
    <font>
      <u/>
      <sz val="11"/>
      <color rgb="FF800080"/>
      <name val="宋体"/>
      <charset val="0"/>
      <scheme val="minor"/>
    </font>
    <font>
      <sz val="10"/>
      <color indexed="8"/>
      <name val="ARIAL"/>
      <charset val="134"/>
    </font>
    <font>
      <sz val="10"/>
      <name val="Arial"/>
      <charset val="134"/>
    </font>
    <font>
      <sz val="11"/>
      <color rgb="FFFF0000"/>
      <name val="宋体"/>
      <charset val="0"/>
      <scheme val="minor"/>
    </font>
    <font>
      <sz val="11"/>
      <color indexed="20"/>
      <name val="宋体"/>
      <charset val="134"/>
    </font>
    <font>
      <sz val="11"/>
      <color rgb="FFFA7D00"/>
      <name val="宋体"/>
      <charset val="0"/>
      <scheme val="minor"/>
    </font>
    <font>
      <sz val="10"/>
      <name val="Geneva"/>
      <charset val="134"/>
    </font>
    <font>
      <b/>
      <sz val="18"/>
      <color theme="3"/>
      <name val="宋体"/>
      <charset val="134"/>
      <scheme val="minor"/>
    </font>
    <font>
      <i/>
      <sz val="11"/>
      <color rgb="FF7F7F7F"/>
      <name val="宋体"/>
      <charset val="0"/>
      <scheme val="minor"/>
    </font>
    <font>
      <sz val="11"/>
      <color indexed="12"/>
      <name val="Arial"/>
      <charset val="134"/>
    </font>
    <font>
      <b/>
      <sz val="15"/>
      <color theme="3"/>
      <name val="宋体"/>
      <charset val="134"/>
      <scheme val="minor"/>
    </font>
    <font>
      <b/>
      <sz val="13"/>
      <color theme="3"/>
      <name val="宋体"/>
      <charset val="134"/>
      <scheme val="minor"/>
    </font>
    <font>
      <b/>
      <sz val="11"/>
      <color theme="1"/>
      <name val="宋体"/>
      <charset val="0"/>
      <scheme val="minor"/>
    </font>
    <font>
      <b/>
      <u/>
      <sz val="10"/>
      <color indexed="16"/>
      <name val="Arial"/>
      <charset val="134"/>
    </font>
    <font>
      <sz val="12"/>
      <name val="Times New Roman"/>
      <charset val="134"/>
    </font>
    <font>
      <sz val="11"/>
      <color indexed="17"/>
      <name val="宋体"/>
      <charset val="134"/>
    </font>
    <font>
      <u/>
      <sz val="11"/>
      <color theme="10"/>
      <name val="宋体"/>
      <charset val="134"/>
    </font>
    <font>
      <u/>
      <sz val="12"/>
      <color indexed="20"/>
      <name val="宋体"/>
      <charset val="134"/>
    </font>
    <font>
      <sz val="6"/>
      <name val="Arial"/>
      <charset val="134"/>
    </font>
    <font>
      <sz val="8"/>
      <color indexed="10"/>
      <name val="Arial"/>
      <charset val="134"/>
    </font>
    <font>
      <sz val="10"/>
      <color indexed="17"/>
      <name val="Arial"/>
      <charset val="134"/>
    </font>
    <font>
      <sz val="8"/>
      <name val="仿宋_GB2312"/>
      <charset val="134"/>
    </font>
  </fonts>
  <fills count="37">
    <fill>
      <patternFill patternType="none"/>
    </fill>
    <fill>
      <patternFill patternType="gray125"/>
    </fill>
    <fill>
      <patternFill patternType="solid">
        <fgColor theme="0" tint="-0.05"/>
        <bgColor indexed="64"/>
      </patternFill>
    </fill>
    <fill>
      <patternFill patternType="solid">
        <fgColor rgb="FFFFC7CE"/>
        <bgColor indexed="64"/>
      </patternFill>
    </fill>
    <fill>
      <patternFill patternType="solid">
        <fgColor theme="6" tint="0.599993896298105"/>
        <bgColor indexed="64"/>
      </patternFill>
    </fill>
    <fill>
      <patternFill patternType="solid">
        <fgColor theme="4" tint="0.599993896298105"/>
        <bgColor indexed="64"/>
      </patternFill>
    </fill>
    <fill>
      <patternFill patternType="solid">
        <fgColor rgb="FFA5A5A5"/>
        <bgColor indexed="64"/>
      </patternFill>
    </fill>
    <fill>
      <patternFill patternType="solid">
        <fgColor theme="5" tint="0.599993896298105"/>
        <bgColor indexed="64"/>
      </patternFill>
    </fill>
    <fill>
      <patternFill patternType="solid">
        <fgColor theme="6" tint="0.399975585192419"/>
        <bgColor indexed="64"/>
      </patternFill>
    </fill>
    <fill>
      <patternFill patternType="solid">
        <fgColor rgb="FFFFEB9C"/>
        <bgColor indexed="64"/>
      </patternFill>
    </fill>
    <fill>
      <patternFill patternType="solid">
        <fgColor rgb="FFFFCC99"/>
        <bgColor indexed="64"/>
      </patternFill>
    </fill>
    <fill>
      <patternFill patternType="solid">
        <fgColor theme="4" tint="0.399975585192419"/>
        <bgColor indexed="64"/>
      </patternFill>
    </fill>
    <fill>
      <patternFill patternType="solid">
        <fgColor theme="6" tint="0.799981688894314"/>
        <bgColor indexed="64"/>
      </patternFill>
    </fill>
    <fill>
      <patternFill patternType="solid">
        <fgColor rgb="FFC6EFCE"/>
        <bgColor indexed="64"/>
      </patternFill>
    </fill>
    <fill>
      <patternFill patternType="solid">
        <fgColor rgb="FFF2F2F2"/>
        <bgColor indexed="64"/>
      </patternFill>
    </fill>
    <fill>
      <patternFill patternType="solid">
        <fgColor theme="5" tint="0.799981688894314"/>
        <bgColor indexed="64"/>
      </patternFill>
    </fill>
    <fill>
      <patternFill patternType="solid">
        <fgColor indexed="26"/>
        <bgColor indexed="64"/>
      </patternFill>
    </fill>
    <fill>
      <patternFill patternType="solid">
        <fgColor theme="7" tint="0.799981688894314"/>
        <bgColor indexed="64"/>
      </patternFill>
    </fill>
    <fill>
      <patternFill patternType="solid">
        <fgColor theme="4" tint="0.799981688894314"/>
        <bgColor indexed="64"/>
      </patternFill>
    </fill>
    <fill>
      <patternFill patternType="solid">
        <fgColor theme="7"/>
        <bgColor indexed="64"/>
      </patternFill>
    </fill>
    <fill>
      <patternFill patternType="solid">
        <fgColor theme="4"/>
        <bgColor indexed="64"/>
      </patternFill>
    </fill>
    <fill>
      <patternFill patternType="solid">
        <fgColor theme="5"/>
        <bgColor indexed="64"/>
      </patternFill>
    </fill>
    <fill>
      <patternFill patternType="solid">
        <fgColor theme="8" tint="0.399975585192419"/>
        <bgColor indexed="64"/>
      </patternFill>
    </fill>
    <fill>
      <patternFill patternType="solid">
        <fgColor rgb="FFFFFFCC"/>
        <bgColor indexed="64"/>
      </patternFill>
    </fill>
    <fill>
      <patternFill patternType="solid">
        <fgColor indexed="45"/>
        <bgColor indexed="64"/>
      </patternFill>
    </fill>
    <fill>
      <patternFill patternType="solid">
        <fgColor theme="5" tint="0.399975585192419"/>
        <bgColor indexed="64"/>
      </patternFill>
    </fill>
    <fill>
      <patternFill patternType="solid">
        <fgColor theme="9" tint="0.799981688894314"/>
        <bgColor indexed="64"/>
      </patternFill>
    </fill>
    <fill>
      <patternFill patternType="solid">
        <fgColor theme="7" tint="0.399975585192419"/>
        <bgColor indexed="64"/>
      </patternFill>
    </fill>
    <fill>
      <patternFill patternType="solid">
        <fgColor theme="6"/>
        <bgColor indexed="64"/>
      </patternFill>
    </fill>
    <fill>
      <patternFill patternType="solid">
        <fgColor theme="8"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
      <patternFill patternType="solid">
        <fgColor indexed="42"/>
        <bgColor indexed="64"/>
      </patternFill>
    </fill>
  </fills>
  <borders count="122">
    <border>
      <left/>
      <right/>
      <top/>
      <bottom/>
      <diagonal/>
    </border>
    <border>
      <left style="dotted">
        <color auto="1"/>
      </left>
      <right style="thin">
        <color auto="1"/>
      </right>
      <top style="medium">
        <color auto="1"/>
      </top>
      <bottom style="dotted">
        <color auto="1"/>
      </bottom>
      <diagonal/>
    </border>
    <border>
      <left/>
      <right/>
      <top style="medium">
        <color auto="1"/>
      </top>
      <bottom style="dotted">
        <color auto="1"/>
      </bottom>
      <diagonal/>
    </border>
    <border>
      <left style="dotted">
        <color auto="1"/>
      </left>
      <right style="thin">
        <color auto="1"/>
      </right>
      <top style="dotted">
        <color auto="1"/>
      </top>
      <bottom style="thin">
        <color auto="1"/>
      </bottom>
      <diagonal/>
    </border>
    <border>
      <left/>
      <right style="dotted">
        <color auto="1"/>
      </right>
      <top style="dotted">
        <color auto="1"/>
      </top>
      <bottom style="double">
        <color auto="1"/>
      </bottom>
      <diagonal/>
    </border>
    <border>
      <left style="dotted">
        <color auto="1"/>
      </left>
      <right style="dotted">
        <color auto="1"/>
      </right>
      <top style="dotted">
        <color auto="1"/>
      </top>
      <bottom style="double">
        <color auto="1"/>
      </bottom>
      <diagonal/>
    </border>
    <border>
      <left style="dotted">
        <color auto="1"/>
      </left>
      <right style="thin">
        <color auto="1"/>
      </right>
      <top style="dotted">
        <color auto="1"/>
      </top>
      <bottom style="double">
        <color auto="1"/>
      </bottom>
      <diagonal/>
    </border>
    <border>
      <left style="dotted">
        <color auto="1"/>
      </left>
      <right style="thin">
        <color auto="1"/>
      </right>
      <top/>
      <bottom style="dotted">
        <color auto="1"/>
      </bottom>
      <diagonal/>
    </border>
    <border>
      <left/>
      <right style="dotted">
        <color auto="1"/>
      </right>
      <top/>
      <bottom style="dotted">
        <color auto="1"/>
      </bottom>
      <diagonal/>
    </border>
    <border>
      <left style="dotted">
        <color auto="1"/>
      </left>
      <right style="dotted">
        <color auto="1"/>
      </right>
      <top/>
      <bottom style="dotted">
        <color auto="1"/>
      </bottom>
      <diagonal/>
    </border>
    <border>
      <left style="dotted">
        <color auto="1"/>
      </left>
      <right style="thin">
        <color auto="1"/>
      </right>
      <top style="dotted">
        <color auto="1"/>
      </top>
      <bottom style="dotted">
        <color auto="1"/>
      </bottom>
      <diagonal/>
    </border>
    <border>
      <left style="dotted">
        <color auto="1"/>
      </left>
      <right style="dotted">
        <color auto="1"/>
      </right>
      <top style="dotted">
        <color auto="1"/>
      </top>
      <bottom style="dotted">
        <color auto="1"/>
      </bottom>
      <diagonal/>
    </border>
    <border>
      <left style="dotted">
        <color auto="1"/>
      </left>
      <right style="thin">
        <color auto="1"/>
      </right>
      <top style="dotted">
        <color auto="1"/>
      </top>
      <bottom style="medium">
        <color auto="1"/>
      </bottom>
      <diagonal/>
    </border>
    <border>
      <left/>
      <right style="dotted">
        <color auto="1"/>
      </right>
      <top/>
      <bottom style="medium">
        <color auto="1"/>
      </bottom>
      <diagonal/>
    </border>
    <border>
      <left style="thin">
        <color auto="1"/>
      </left>
      <right style="dotted">
        <color auto="1"/>
      </right>
      <top/>
      <bottom style="medium">
        <color auto="1"/>
      </bottom>
      <diagonal/>
    </border>
    <border>
      <left style="dotted">
        <color auto="1"/>
      </left>
      <right/>
      <top style="dotted">
        <color auto="1"/>
      </top>
      <bottom style="double">
        <color auto="1"/>
      </bottom>
      <diagonal/>
    </border>
    <border>
      <left style="thin">
        <color auto="1"/>
      </left>
      <right style="dotted">
        <color auto="1"/>
      </right>
      <top style="dotted">
        <color auto="1"/>
      </top>
      <bottom style="double">
        <color auto="1"/>
      </bottom>
      <diagonal/>
    </border>
    <border>
      <left style="dotted">
        <color auto="1"/>
      </left>
      <right/>
      <top/>
      <bottom style="dotted">
        <color auto="1"/>
      </bottom>
      <diagonal/>
    </border>
    <border>
      <left style="thin">
        <color auto="1"/>
      </left>
      <right style="dotted">
        <color auto="1"/>
      </right>
      <top/>
      <bottom style="dotted">
        <color auto="1"/>
      </bottom>
      <diagonal/>
    </border>
    <border>
      <left style="dotted">
        <color auto="1"/>
      </left>
      <right/>
      <top style="dotted">
        <color auto="1"/>
      </top>
      <bottom style="dotted">
        <color auto="1"/>
      </bottom>
      <diagonal/>
    </border>
    <border>
      <left style="thin">
        <color auto="1"/>
      </left>
      <right style="dotted">
        <color auto="1"/>
      </right>
      <top style="medium">
        <color auto="1"/>
      </top>
      <bottom/>
      <diagonal/>
    </border>
    <border>
      <left style="dotted">
        <color auto="1"/>
      </left>
      <right style="dotted">
        <color auto="1"/>
      </right>
      <top style="medium">
        <color auto="1"/>
      </top>
      <bottom style="dotted">
        <color auto="1"/>
      </bottom>
      <diagonal/>
    </border>
    <border>
      <left style="dotted">
        <color auto="1"/>
      </left>
      <right style="medium">
        <color auto="1"/>
      </right>
      <top style="medium">
        <color auto="1"/>
      </top>
      <bottom style="dotted">
        <color auto="1"/>
      </bottom>
      <diagonal/>
    </border>
    <border>
      <left style="thin">
        <color auto="1"/>
      </left>
      <right style="dotted">
        <color auto="1"/>
      </right>
      <top/>
      <bottom style="thin">
        <color auto="1"/>
      </bottom>
      <diagonal/>
    </border>
    <border>
      <left style="dotted">
        <color auto="1"/>
      </left>
      <right style="dotted">
        <color auto="1"/>
      </right>
      <top style="dotted">
        <color auto="1"/>
      </top>
      <bottom style="thin">
        <color auto="1"/>
      </bottom>
      <diagonal/>
    </border>
    <border>
      <left style="dotted">
        <color auto="1"/>
      </left>
      <right style="medium">
        <color auto="1"/>
      </right>
      <top style="dotted">
        <color auto="1"/>
      </top>
      <bottom style="thin">
        <color auto="1"/>
      </bottom>
      <diagonal/>
    </border>
    <border>
      <left style="dotted">
        <color auto="1"/>
      </left>
      <right style="medium">
        <color auto="1"/>
      </right>
      <top/>
      <bottom style="dotted">
        <color auto="1"/>
      </bottom>
      <diagonal/>
    </border>
    <border>
      <left style="dotted">
        <color auto="1"/>
      </left>
      <right style="medium">
        <color auto="1"/>
      </right>
      <top style="dotted">
        <color auto="1"/>
      </top>
      <bottom style="dotted">
        <color auto="1"/>
      </bottom>
      <diagonal/>
    </border>
    <border>
      <left style="dotted">
        <color auto="1"/>
      </left>
      <right style="dotted">
        <color auto="1"/>
      </right>
      <top style="dotted">
        <color auto="1"/>
      </top>
      <bottom style="medium">
        <color auto="1"/>
      </bottom>
      <diagonal/>
    </border>
    <border>
      <left style="dotted">
        <color auto="1"/>
      </left>
      <right style="dotted">
        <color auto="1"/>
      </right>
      <top/>
      <bottom style="medium">
        <color auto="1"/>
      </bottom>
      <diagonal/>
    </border>
    <border>
      <left style="dotted">
        <color auto="1"/>
      </left>
      <right style="medium">
        <color auto="1"/>
      </right>
      <top style="dotted">
        <color auto="1"/>
      </top>
      <bottom style="medium">
        <color auto="1"/>
      </bottom>
      <diagonal/>
    </border>
    <border>
      <left style="medium">
        <color auto="1"/>
      </left>
      <right style="dotted">
        <color auto="1"/>
      </right>
      <top style="medium">
        <color auto="1"/>
      </top>
      <bottom style="dotted">
        <color auto="1"/>
      </bottom>
      <diagonal/>
    </border>
    <border>
      <left style="medium">
        <color auto="1"/>
      </left>
      <right style="dotted">
        <color auto="1"/>
      </right>
      <top style="dotted">
        <color auto="1"/>
      </top>
      <bottom style="thin">
        <color auto="1"/>
      </bottom>
      <diagonal/>
    </border>
    <border>
      <left style="medium">
        <color auto="1"/>
      </left>
      <right style="dotted">
        <color auto="1"/>
      </right>
      <top/>
      <bottom style="dotted">
        <color auto="1"/>
      </bottom>
      <diagonal/>
    </border>
    <border>
      <left style="medium">
        <color auto="1"/>
      </left>
      <right style="dotted">
        <color auto="1"/>
      </right>
      <top style="dotted">
        <color auto="1"/>
      </top>
      <bottom style="dotted">
        <color auto="1"/>
      </bottom>
      <diagonal/>
    </border>
    <border>
      <left/>
      <right style="dotted">
        <color auto="1"/>
      </right>
      <top style="dotted">
        <color auto="1"/>
      </top>
      <bottom style="dotted">
        <color auto="1"/>
      </bottom>
      <diagonal/>
    </border>
    <border>
      <left style="thin">
        <color auto="1"/>
      </left>
      <right style="dotted">
        <color auto="1"/>
      </right>
      <top style="dotted">
        <color auto="1"/>
      </top>
      <bottom style="dotted">
        <color auto="1"/>
      </bottom>
      <diagonal/>
    </border>
    <border>
      <left style="medium">
        <color auto="1"/>
      </left>
      <right style="dotted">
        <color auto="1"/>
      </right>
      <top/>
      <bottom style="medium">
        <color auto="1"/>
      </bottom>
      <diagonal/>
    </border>
    <border>
      <left style="dotted">
        <color auto="1"/>
      </left>
      <right style="thin">
        <color auto="1"/>
      </right>
      <top/>
      <bottom style="medium">
        <color auto="1"/>
      </bottom>
      <diagonal/>
    </border>
    <border>
      <left/>
      <right style="dotted">
        <color auto="1"/>
      </right>
      <top/>
      <bottom style="thin">
        <color auto="1"/>
      </bottom>
      <diagonal/>
    </border>
    <border>
      <left/>
      <right style="dotted">
        <color auto="1"/>
      </right>
      <top/>
      <bottom/>
      <diagonal/>
    </border>
    <border>
      <left/>
      <right style="dotted">
        <color auto="1"/>
      </right>
      <top style="thin">
        <color auto="1"/>
      </top>
      <bottom style="dotted">
        <color auto="1"/>
      </bottom>
      <diagonal/>
    </border>
    <border>
      <left style="dotted">
        <color auto="1"/>
      </left>
      <right style="medium">
        <color auto="1"/>
      </right>
      <top/>
      <bottom style="medium">
        <color auto="1"/>
      </bottom>
      <diagonal/>
    </border>
    <border>
      <left/>
      <right style="dotted">
        <color auto="1"/>
      </right>
      <top style="medium">
        <color auto="1"/>
      </top>
      <bottom style="dotted">
        <color auto="1"/>
      </bottom>
      <diagonal/>
    </border>
    <border>
      <left style="medium">
        <color auto="1"/>
      </left>
      <right style="dotted">
        <color auto="1"/>
      </right>
      <top style="dotted">
        <color auto="1"/>
      </top>
      <bottom/>
      <diagonal/>
    </border>
    <border>
      <left style="dotted">
        <color auto="1"/>
      </left>
      <right style="dotted">
        <color auto="1"/>
      </right>
      <top style="dotted">
        <color auto="1"/>
      </top>
      <bottom/>
      <diagonal/>
    </border>
    <border>
      <left style="dotted">
        <color auto="1"/>
      </left>
      <right style="thin">
        <color auto="1"/>
      </right>
      <top style="dotted">
        <color auto="1"/>
      </top>
      <bottom/>
      <diagonal/>
    </border>
    <border>
      <left style="dotted">
        <color auto="1"/>
      </left>
      <right/>
      <top style="dotted">
        <color auto="1"/>
      </top>
      <bottom style="thin">
        <color auto="1"/>
      </bottom>
      <diagonal/>
    </border>
    <border>
      <left style="dotted">
        <color auto="1"/>
      </left>
      <right/>
      <top/>
      <bottom style="medium">
        <color auto="1"/>
      </bottom>
      <diagonal/>
    </border>
    <border>
      <left style="dotted">
        <color auto="1"/>
      </left>
      <right/>
      <top style="dotted">
        <color auto="1"/>
      </top>
      <bottom/>
      <diagonal/>
    </border>
    <border>
      <left style="dotted">
        <color auto="1"/>
      </left>
      <right/>
      <top style="medium">
        <color auto="1"/>
      </top>
      <bottom style="dotted">
        <color auto="1"/>
      </bottom>
      <diagonal/>
    </border>
    <border>
      <left style="thin">
        <color auto="1"/>
      </left>
      <right style="dotted">
        <color auto="1"/>
      </right>
      <top style="medium">
        <color auto="1"/>
      </top>
      <bottom style="dotted">
        <color auto="1"/>
      </bottom>
      <diagonal/>
    </border>
    <border>
      <left style="thin">
        <color auto="1"/>
      </left>
      <right style="dotted">
        <color auto="1"/>
      </right>
      <top style="dotted">
        <color auto="1"/>
      </top>
      <bottom style="thin">
        <color auto="1"/>
      </bottom>
      <diagonal/>
    </border>
    <border>
      <left style="dotted">
        <color auto="1"/>
      </left>
      <right style="medium">
        <color auto="1"/>
      </right>
      <top style="dotted">
        <color auto="1"/>
      </top>
      <bottom/>
      <diagonal/>
    </border>
    <border>
      <left/>
      <right style="dotted">
        <color auto="1"/>
      </right>
      <top style="dotted">
        <color auto="1"/>
      </top>
      <bottom style="thin">
        <color auto="1"/>
      </bottom>
      <diagonal/>
    </border>
    <border>
      <left/>
      <right style="thin">
        <color auto="1"/>
      </right>
      <top style="dotted">
        <color auto="1"/>
      </top>
      <bottom style="thin">
        <color auto="1"/>
      </bottom>
      <diagonal/>
    </border>
    <border>
      <left/>
      <right style="dotted">
        <color auto="1"/>
      </right>
      <top style="dotted">
        <color auto="1"/>
      </top>
      <bottom/>
      <diagonal/>
    </border>
    <border>
      <left/>
      <right/>
      <top style="dotted">
        <color auto="1"/>
      </top>
      <bottom style="thin">
        <color auto="1"/>
      </bottom>
      <diagonal/>
    </border>
    <border>
      <left style="thin">
        <color auto="1"/>
      </left>
      <right style="dotted">
        <color auto="1"/>
      </right>
      <top style="dotted">
        <color auto="1"/>
      </top>
      <bottom/>
      <diagonal/>
    </border>
    <border>
      <left style="thin">
        <color auto="1"/>
      </left>
      <right/>
      <top style="dotted">
        <color auto="1"/>
      </top>
      <bottom style="thin">
        <color auto="1"/>
      </bottom>
      <diagonal/>
    </border>
    <border>
      <left style="medium">
        <color auto="1"/>
      </left>
      <right/>
      <top style="dotted">
        <color auto="1"/>
      </top>
      <bottom style="medium">
        <color auto="1"/>
      </bottom>
      <diagonal/>
    </border>
    <border>
      <left/>
      <right/>
      <top style="dotted">
        <color auto="1"/>
      </top>
      <bottom style="medium">
        <color auto="1"/>
      </bottom>
      <diagonal/>
    </border>
    <border>
      <left/>
      <right style="thin">
        <color auto="1"/>
      </right>
      <top style="dotted">
        <color auto="1"/>
      </top>
      <bottom style="medium">
        <color auto="1"/>
      </bottom>
      <diagonal/>
    </border>
    <border>
      <left style="dotted">
        <color auto="1"/>
      </left>
      <right/>
      <top style="dotted">
        <color auto="1"/>
      </top>
      <bottom style="medium">
        <color auto="1"/>
      </bottom>
      <diagonal/>
    </border>
    <border>
      <left style="thin">
        <color auto="1"/>
      </left>
      <right style="dotted">
        <color auto="1"/>
      </right>
      <top style="dotted">
        <color auto="1"/>
      </top>
      <bottom style="medium">
        <color auto="1"/>
      </bottom>
      <diagonal/>
    </border>
    <border>
      <left style="medium">
        <color auto="1"/>
      </left>
      <right style="thin">
        <color auto="1"/>
      </right>
      <top style="medium">
        <color auto="1"/>
      </top>
      <bottom style="dotted">
        <color auto="1"/>
      </bottom>
      <diagonal/>
    </border>
    <border>
      <left style="medium">
        <color auto="1"/>
      </left>
      <right style="thin">
        <color auto="1"/>
      </right>
      <top style="dotted">
        <color auto="1"/>
      </top>
      <bottom style="thin">
        <color auto="1"/>
      </bottom>
      <diagonal/>
    </border>
    <border>
      <left style="medium">
        <color auto="1"/>
      </left>
      <right style="thin">
        <color auto="1"/>
      </right>
      <top/>
      <bottom style="dotted">
        <color auto="1"/>
      </bottom>
      <diagonal/>
    </border>
    <border>
      <left style="medium">
        <color auto="1"/>
      </left>
      <right style="thin">
        <color auto="1"/>
      </right>
      <top style="dotted">
        <color auto="1"/>
      </top>
      <bottom style="dotted">
        <color auto="1"/>
      </bottom>
      <diagonal/>
    </border>
    <border>
      <left style="medium">
        <color auto="1"/>
      </left>
      <right style="thin">
        <color auto="1"/>
      </right>
      <top style="dotted">
        <color auto="1"/>
      </top>
      <bottom/>
      <diagonal/>
    </border>
    <border>
      <left style="medium">
        <color auto="1"/>
      </left>
      <right style="thin">
        <color auto="1"/>
      </right>
      <top style="thin">
        <color auto="1"/>
      </top>
      <bottom style="dotted">
        <color auto="1"/>
      </bottom>
      <diagonal/>
    </border>
    <border>
      <left style="dotted">
        <color auto="1"/>
      </left>
      <right style="dotted">
        <color auto="1"/>
      </right>
      <top style="thin">
        <color auto="1"/>
      </top>
      <bottom style="dotted">
        <color auto="1"/>
      </bottom>
      <diagonal/>
    </border>
    <border>
      <left style="dotted">
        <color auto="1"/>
      </left>
      <right style="thin">
        <color auto="1"/>
      </right>
      <top style="thin">
        <color auto="1"/>
      </top>
      <bottom style="dotted">
        <color auto="1"/>
      </bottom>
      <diagonal/>
    </border>
    <border>
      <left style="medium">
        <color auto="1"/>
      </left>
      <right style="thin">
        <color auto="1"/>
      </right>
      <top style="dotted">
        <color auto="1"/>
      </top>
      <bottom style="medium">
        <color auto="1"/>
      </bottom>
      <diagonal/>
    </border>
    <border>
      <left/>
      <right style="dotted">
        <color auto="1"/>
      </right>
      <top style="dotted">
        <color auto="1"/>
      </top>
      <bottom style="medium">
        <color auto="1"/>
      </bottom>
      <diagonal/>
    </border>
    <border>
      <left style="dotted">
        <color auto="1"/>
      </left>
      <right/>
      <top style="thin">
        <color auto="1"/>
      </top>
      <bottom style="dotted">
        <color auto="1"/>
      </bottom>
      <diagonal/>
    </border>
    <border>
      <left style="thin">
        <color auto="1"/>
      </left>
      <right style="dotted">
        <color auto="1"/>
      </right>
      <top style="thin">
        <color auto="1"/>
      </top>
      <bottom style="dotted">
        <color auto="1"/>
      </bottom>
      <diagonal/>
    </border>
    <border>
      <left style="dotted">
        <color auto="1"/>
      </left>
      <right style="dotted">
        <color auto="1"/>
      </right>
      <top/>
      <bottom/>
      <diagonal/>
    </border>
    <border>
      <left style="dotted">
        <color auto="1"/>
      </left>
      <right style="medium">
        <color auto="1"/>
      </right>
      <top style="thin">
        <color auto="1"/>
      </top>
      <bottom style="dotted">
        <color auto="1"/>
      </bottom>
      <diagonal/>
    </border>
    <border>
      <left style="medium">
        <color auto="1"/>
      </left>
      <right style="thin">
        <color auto="1"/>
      </right>
      <top style="medium">
        <color auto="1"/>
      </top>
      <bottom style="thin">
        <color auto="1"/>
      </bottom>
      <diagonal/>
    </border>
    <border>
      <left/>
      <right style="dotted">
        <color auto="1"/>
      </right>
      <top style="medium">
        <color auto="1"/>
      </top>
      <bottom style="thin">
        <color auto="1"/>
      </bottom>
      <diagonal/>
    </border>
    <border>
      <left style="dotted">
        <color auto="1"/>
      </left>
      <right/>
      <top style="medium">
        <color auto="1"/>
      </top>
      <bottom style="thin">
        <color auto="1"/>
      </bottom>
      <diagonal/>
    </border>
    <border>
      <left style="thin">
        <color auto="1"/>
      </left>
      <right style="dotted">
        <color auto="1"/>
      </right>
      <top style="medium">
        <color auto="1"/>
      </top>
      <bottom style="double">
        <color auto="1"/>
      </bottom>
      <diagonal/>
    </border>
    <border>
      <left style="dotted">
        <color auto="1"/>
      </left>
      <right style="dotted">
        <color auto="1"/>
      </right>
      <top style="medium">
        <color auto="1"/>
      </top>
      <bottom style="double">
        <color auto="1"/>
      </bottom>
      <diagonal/>
    </border>
    <border>
      <left style="dotted">
        <color auto="1"/>
      </left>
      <right style="thin">
        <color auto="1"/>
      </right>
      <top style="medium">
        <color auto="1"/>
      </top>
      <bottom style="double">
        <color auto="1"/>
      </bottom>
      <diagonal/>
    </border>
    <border>
      <left/>
      <right style="dotted">
        <color auto="1"/>
      </right>
      <top style="medium">
        <color auto="1"/>
      </top>
      <bottom style="double">
        <color auto="1"/>
      </bottom>
      <diagonal/>
    </border>
    <border>
      <left style="dotted">
        <color auto="1"/>
      </left>
      <right/>
      <top style="medium">
        <color auto="1"/>
      </top>
      <bottom style="double">
        <color auto="1"/>
      </bottom>
      <diagonal/>
    </border>
    <border>
      <left style="thin">
        <color auto="1"/>
      </left>
      <right style="dotted">
        <color auto="1"/>
      </right>
      <top style="medium">
        <color auto="1"/>
      </top>
      <bottom style="thin">
        <color auto="1"/>
      </bottom>
      <diagonal/>
    </border>
    <border>
      <left style="dotted">
        <color auto="1"/>
      </left>
      <right style="dotted">
        <color auto="1"/>
      </right>
      <top style="medium">
        <color auto="1"/>
      </top>
      <bottom style="thin">
        <color auto="1"/>
      </bottom>
      <diagonal/>
    </border>
    <border>
      <left style="dotted">
        <color auto="1"/>
      </left>
      <right style="medium">
        <color auto="1"/>
      </right>
      <top style="medium">
        <color auto="1"/>
      </top>
      <bottom style="thin">
        <color auto="1"/>
      </bottom>
      <diagonal/>
    </border>
    <border>
      <left style="medium">
        <color auto="1"/>
      </left>
      <right style="thin">
        <color auto="1"/>
      </right>
      <top/>
      <bottom/>
      <diagonal/>
    </border>
    <border>
      <left style="dotted">
        <color auto="1"/>
      </left>
      <right style="dotted">
        <color auto="1"/>
      </right>
      <top/>
      <bottom style="thin">
        <color auto="1"/>
      </bottom>
      <diagonal/>
    </border>
    <border>
      <left style="thin">
        <color auto="1"/>
      </left>
      <right style="hair">
        <color auto="1"/>
      </right>
      <top/>
      <bottom style="hair">
        <color auto="1"/>
      </bottom>
      <diagonal/>
    </border>
    <border>
      <left style="hair">
        <color auto="1"/>
      </left>
      <right style="hair">
        <color auto="1"/>
      </right>
      <top/>
      <bottom style="hair">
        <color auto="1"/>
      </bottom>
      <diagonal/>
    </border>
    <border>
      <left style="thin">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auto="1"/>
      </left>
      <right style="hair">
        <color auto="1"/>
      </right>
      <top style="hair">
        <color auto="1"/>
      </top>
      <bottom style="thin">
        <color auto="1"/>
      </bottom>
      <diagonal/>
    </border>
    <border>
      <left style="hair">
        <color auto="1"/>
      </left>
      <right style="hair">
        <color auto="1"/>
      </right>
      <top style="hair">
        <color auto="1"/>
      </top>
      <bottom style="thin">
        <color auto="1"/>
      </bottom>
      <diagonal/>
    </border>
    <border>
      <left style="thin">
        <color auto="1"/>
      </left>
      <right style="hair">
        <color auto="1"/>
      </right>
      <top style="hair">
        <color auto="1"/>
      </top>
      <bottom style="medium">
        <color auto="1"/>
      </bottom>
      <diagonal/>
    </border>
    <border>
      <left style="hair">
        <color auto="1"/>
      </left>
      <right style="hair">
        <color auto="1"/>
      </right>
      <top style="hair">
        <color auto="1"/>
      </top>
      <bottom style="medium">
        <color auto="1"/>
      </bottom>
      <diagonal/>
    </border>
    <border>
      <left style="thin">
        <color auto="1"/>
      </left>
      <right/>
      <top style="medium">
        <color auto="1"/>
      </top>
      <bottom style="dotted">
        <color auto="1"/>
      </bottom>
      <diagonal/>
    </border>
    <border>
      <left style="hair">
        <color auto="1"/>
      </left>
      <right style="hair">
        <color auto="1"/>
      </right>
      <top style="thin">
        <color auto="1"/>
      </top>
      <bottom style="hair">
        <color auto="1"/>
      </bottom>
      <diagonal/>
    </border>
    <border>
      <left style="hair">
        <color auto="1"/>
      </left>
      <right style="medium">
        <color auto="1"/>
      </right>
      <top style="thin">
        <color auto="1"/>
      </top>
      <bottom style="hair">
        <color auto="1"/>
      </bottom>
      <diagonal/>
    </border>
    <border>
      <left style="hair">
        <color auto="1"/>
      </left>
      <right style="medium">
        <color auto="1"/>
      </right>
      <top style="hair">
        <color auto="1"/>
      </top>
      <bottom style="hair">
        <color auto="1"/>
      </bottom>
      <diagonal/>
    </border>
    <border>
      <left style="hair">
        <color auto="1"/>
      </left>
      <right style="medium">
        <color auto="1"/>
      </right>
      <top style="hair">
        <color auto="1"/>
      </top>
      <bottom style="thin">
        <color auto="1"/>
      </bottom>
      <diagonal/>
    </border>
    <border>
      <left style="hair">
        <color auto="1"/>
      </left>
      <right style="medium">
        <color auto="1"/>
      </right>
      <top/>
      <bottom style="hair">
        <color auto="1"/>
      </bottom>
      <diagonal/>
    </border>
    <border>
      <left style="hair">
        <color auto="1"/>
      </left>
      <right style="medium">
        <color auto="1"/>
      </right>
      <top style="hair">
        <color auto="1"/>
      </top>
      <bottom style="medium">
        <color auto="1"/>
      </bottom>
      <diagonal/>
    </border>
    <border>
      <left style="medium">
        <color auto="1"/>
      </left>
      <right style="hair">
        <color auto="1"/>
      </right>
      <top style="medium">
        <color auto="1"/>
      </top>
      <bottom style="hair">
        <color auto="1"/>
      </bottom>
      <diagonal/>
    </border>
    <border>
      <left style="hair">
        <color auto="1"/>
      </left>
      <right style="hair">
        <color auto="1"/>
      </right>
      <top style="medium">
        <color auto="1"/>
      </top>
      <bottom style="hair">
        <color auto="1"/>
      </bottom>
      <diagonal/>
    </border>
    <border>
      <left style="medium">
        <color auto="1"/>
      </left>
      <right style="hair">
        <color auto="1"/>
      </right>
      <top style="hair">
        <color auto="1"/>
      </top>
      <bottom style="hair">
        <color auto="1"/>
      </bottom>
      <diagonal/>
    </border>
    <border>
      <left style="medium">
        <color auto="1"/>
      </left>
      <right style="hair">
        <color auto="1"/>
      </right>
      <top style="hair">
        <color auto="1"/>
      </top>
      <bottom style="medium">
        <color auto="1"/>
      </bottom>
      <diagonal/>
    </border>
    <border>
      <left style="hair">
        <color auto="1"/>
      </left>
      <right style="medium">
        <color auto="1"/>
      </right>
      <top style="medium">
        <color auto="1"/>
      </top>
      <bottom style="hair">
        <color auto="1"/>
      </bottom>
      <diagonal/>
    </border>
    <border>
      <left style="double">
        <color rgb="FF3F3F3F"/>
      </left>
      <right style="double">
        <color rgb="FF3F3F3F"/>
      </right>
      <top style="double">
        <color rgb="FF3F3F3F"/>
      </top>
      <bottom style="double">
        <color rgb="FF3F3F3F"/>
      </bottom>
      <diagonal/>
    </border>
    <border>
      <left style="thin">
        <color rgb="FF7F7F7F"/>
      </left>
      <right style="thin">
        <color rgb="FF7F7F7F"/>
      </right>
      <top style="thin">
        <color rgb="FF7F7F7F"/>
      </top>
      <bottom style="thin">
        <color rgb="FF7F7F7F"/>
      </bottom>
      <diagonal/>
    </border>
    <border>
      <left style="thin">
        <color indexed="22"/>
      </left>
      <right style="thin">
        <color indexed="22"/>
      </right>
      <top style="thin">
        <color indexed="22"/>
      </top>
      <bottom style="thin">
        <color indexed="22"/>
      </bottom>
      <diagonal/>
    </border>
    <border>
      <left style="thin">
        <color rgb="FF3F3F3F"/>
      </left>
      <right style="thin">
        <color rgb="FF3F3F3F"/>
      </right>
      <top style="thin">
        <color rgb="FF3F3F3F"/>
      </top>
      <bottom style="thin">
        <color rgb="FF3F3F3F"/>
      </bottom>
      <diagonal/>
    </border>
    <border>
      <left style="thin">
        <color rgb="FFB2B2B2"/>
      </left>
      <right style="thin">
        <color rgb="FFB2B2B2"/>
      </right>
      <top style="thin">
        <color rgb="FFB2B2B2"/>
      </top>
      <bottom style="thin">
        <color rgb="FFB2B2B2"/>
      </bottom>
      <diagonal/>
    </border>
    <border>
      <left/>
      <right/>
      <top/>
      <bottom style="double">
        <color rgb="FFFF8001"/>
      </bottom>
      <diagonal/>
    </border>
    <border>
      <left/>
      <right/>
      <top/>
      <bottom style="medium">
        <color theme="4"/>
      </bottom>
      <diagonal/>
    </border>
    <border>
      <left/>
      <right/>
      <top/>
      <bottom style="medium">
        <color theme="4" tint="0.499984740745262"/>
      </bottom>
      <diagonal/>
    </border>
    <border>
      <left/>
      <right/>
      <top style="thin">
        <color theme="4"/>
      </top>
      <bottom style="double">
        <color theme="4"/>
      </bottom>
      <diagonal/>
    </border>
    <border>
      <left/>
      <right/>
      <top/>
      <bottom style="thin">
        <color auto="1"/>
      </bottom>
      <diagonal/>
    </border>
  </borders>
  <cellStyleXfs count="224">
    <xf numFmtId="0" fontId="0" fillId="0" borderId="0"/>
    <xf numFmtId="42" fontId="17" fillId="0" borderId="0" applyFont="0" applyFill="0" applyBorder="0" applyAlignment="0" applyProtection="0">
      <alignment vertical="center"/>
    </xf>
    <xf numFmtId="0" fontId="13" fillId="12" borderId="0" applyNumberFormat="0" applyBorder="0" applyAlignment="0" applyProtection="0">
      <alignment vertical="center"/>
    </xf>
    <xf numFmtId="0" fontId="20" fillId="10" borderId="113" applyNumberFormat="0" applyAlignment="0" applyProtection="0">
      <alignment vertical="center"/>
    </xf>
    <xf numFmtId="44" fontId="17" fillId="0" borderId="0" applyFont="0" applyFill="0" applyBorder="0" applyAlignment="0" applyProtection="0">
      <alignment vertical="center"/>
    </xf>
    <xf numFmtId="41" fontId="17" fillId="0" borderId="0" applyFont="0" applyFill="0" applyBorder="0" applyAlignment="0" applyProtection="0">
      <alignment vertical="center"/>
    </xf>
    <xf numFmtId="0" fontId="13" fillId="4" borderId="0" applyNumberFormat="0" applyBorder="0" applyAlignment="0" applyProtection="0">
      <alignment vertical="center"/>
    </xf>
    <xf numFmtId="37" fontId="23" fillId="16" borderId="114" applyNumberFormat="0" applyFont="0" applyAlignment="0" applyProtection="0"/>
    <xf numFmtId="0" fontId="12" fillId="3" borderId="0" applyNumberFormat="0" applyBorder="0" applyAlignment="0" applyProtection="0">
      <alignment vertical="center"/>
    </xf>
    <xf numFmtId="43" fontId="0" fillId="0" borderId="0" applyFont="0" applyFill="0" applyBorder="0" applyAlignment="0" applyProtection="0"/>
    <xf numFmtId="0" fontId="18" fillId="8" borderId="0" applyNumberFormat="0" applyBorder="0" applyAlignment="0" applyProtection="0">
      <alignment vertical="center"/>
    </xf>
    <xf numFmtId="0" fontId="25" fillId="0" borderId="0" applyNumberFormat="0" applyFill="0" applyBorder="0" applyAlignment="0" applyProtection="0">
      <alignment vertical="top"/>
      <protection locked="0"/>
    </xf>
    <xf numFmtId="9" fontId="0" fillId="0" borderId="0" applyFont="0" applyFill="0" applyBorder="0" applyAlignment="0" applyProtection="0"/>
    <xf numFmtId="0" fontId="26" fillId="0" borderId="0" applyNumberFormat="0" applyFill="0" applyBorder="0" applyAlignment="0" applyProtection="0">
      <alignment vertical="center"/>
    </xf>
    <xf numFmtId="0" fontId="27" fillId="0" borderId="0">
      <alignment vertical="top"/>
    </xf>
    <xf numFmtId="0" fontId="17" fillId="23" borderId="116" applyNumberFormat="0" applyFont="0" applyAlignment="0" applyProtection="0">
      <alignment vertical="center"/>
    </xf>
    <xf numFmtId="0" fontId="0" fillId="0" borderId="0"/>
    <xf numFmtId="176" fontId="28" fillId="0" borderId="0" applyFont="0" applyFill="0" applyBorder="0" applyAlignment="0" applyProtection="0"/>
    <xf numFmtId="0" fontId="15" fillId="0" borderId="0" applyNumberFormat="0" applyFill="0" applyBorder="0" applyAlignment="0" applyProtection="0">
      <alignment vertical="center"/>
    </xf>
    <xf numFmtId="37" fontId="23" fillId="16" borderId="114" applyNumberFormat="0" applyFont="0" applyAlignment="0" applyProtection="0"/>
    <xf numFmtId="37" fontId="23" fillId="16" borderId="114" applyNumberFormat="0" applyFont="0" applyAlignment="0" applyProtection="0"/>
    <xf numFmtId="0" fontId="29" fillId="0" borderId="0" applyNumberFormat="0" applyFill="0" applyBorder="0" applyAlignment="0" applyProtection="0">
      <alignment vertical="center"/>
    </xf>
    <xf numFmtId="0" fontId="30" fillId="24" borderId="0" applyNumberFormat="0" applyBorder="0" applyAlignment="0" applyProtection="0">
      <alignment vertical="center"/>
    </xf>
    <xf numFmtId="0" fontId="18" fillId="25" borderId="0" applyNumberFormat="0" applyBorder="0" applyAlignment="0" applyProtection="0">
      <alignment vertical="center"/>
    </xf>
    <xf numFmtId="0" fontId="32" fillId="0" borderId="0"/>
    <xf numFmtId="0" fontId="33" fillId="0" borderId="0" applyNumberFormat="0" applyFill="0" applyBorder="0" applyAlignment="0" applyProtection="0">
      <alignment vertical="center"/>
    </xf>
    <xf numFmtId="0" fontId="14" fillId="0" borderId="0" applyFont="0" applyFill="0" applyBorder="0" applyAlignment="0" applyProtection="0"/>
    <xf numFmtId="0" fontId="34" fillId="0" borderId="0" applyNumberFormat="0" applyFill="0" applyBorder="0" applyAlignment="0" applyProtection="0">
      <alignment vertical="center"/>
    </xf>
    <xf numFmtId="0" fontId="0" fillId="0" borderId="0"/>
    <xf numFmtId="0" fontId="35" fillId="0" borderId="0">
      <alignment horizontal="right"/>
    </xf>
    <xf numFmtId="0" fontId="36" fillId="0" borderId="118" applyNumberFormat="0" applyFill="0" applyAlignment="0" applyProtection="0">
      <alignment vertical="center"/>
    </xf>
    <xf numFmtId="37" fontId="23" fillId="16" borderId="114" applyNumberFormat="0" applyFont="0" applyAlignment="0" applyProtection="0"/>
    <xf numFmtId="0" fontId="37" fillId="0" borderId="118" applyNumberFormat="0" applyFill="0" applyAlignment="0" applyProtection="0">
      <alignment vertical="center"/>
    </xf>
    <xf numFmtId="37" fontId="23" fillId="16" borderId="114" applyNumberFormat="0" applyFont="0" applyAlignment="0" applyProtection="0"/>
    <xf numFmtId="0" fontId="0" fillId="0" borderId="0"/>
    <xf numFmtId="9" fontId="0" fillId="0" borderId="0" applyFont="0" applyFill="0" applyBorder="0" applyAlignment="0" applyProtection="0">
      <alignment vertical="center"/>
    </xf>
    <xf numFmtId="0" fontId="15" fillId="0" borderId="119" applyNumberFormat="0" applyFill="0" applyAlignment="0" applyProtection="0">
      <alignment vertical="center"/>
    </xf>
    <xf numFmtId="37" fontId="23" fillId="16" borderId="114" applyNumberFormat="0" applyFont="0" applyAlignment="0" applyProtection="0"/>
    <xf numFmtId="37" fontId="23" fillId="16" borderId="114" applyNumberFormat="0" applyFont="0" applyAlignment="0" applyProtection="0"/>
    <xf numFmtId="0" fontId="18" fillId="11" borderId="0" applyNumberFormat="0" applyBorder="0" applyAlignment="0" applyProtection="0">
      <alignment vertical="center"/>
    </xf>
    <xf numFmtId="0" fontId="18" fillId="27" borderId="0" applyNumberFormat="0" applyBorder="0" applyAlignment="0" applyProtection="0">
      <alignment vertical="center"/>
    </xf>
    <xf numFmtId="0" fontId="24" fillId="14" borderId="115" applyNumberFormat="0" applyAlignment="0" applyProtection="0">
      <alignment vertical="center"/>
    </xf>
    <xf numFmtId="37" fontId="23" fillId="16" borderId="114" applyNumberFormat="0" applyFont="0" applyAlignment="0" applyProtection="0"/>
    <xf numFmtId="0" fontId="22" fillId="14" borderId="113" applyNumberFormat="0" applyAlignment="0" applyProtection="0">
      <alignment vertical="center"/>
    </xf>
    <xf numFmtId="0" fontId="16" fillId="6" borderId="112" applyNumberFormat="0" applyAlignment="0" applyProtection="0">
      <alignment vertical="center"/>
    </xf>
    <xf numFmtId="0" fontId="13" fillId="26" borderId="0" applyNumberFormat="0" applyBorder="0" applyAlignment="0" applyProtection="0">
      <alignment vertical="center"/>
    </xf>
    <xf numFmtId="0" fontId="14" fillId="0" borderId="0" applyFont="0" applyFill="0" applyBorder="0" applyAlignment="0" applyProtection="0"/>
    <xf numFmtId="0" fontId="14" fillId="0" borderId="0" applyFont="0" applyFill="0" applyBorder="0" applyAlignment="0" applyProtection="0"/>
    <xf numFmtId="0" fontId="18" fillId="21" borderId="0" applyNumberFormat="0" applyBorder="0" applyAlignment="0" applyProtection="0">
      <alignment vertical="center"/>
    </xf>
    <xf numFmtId="9" fontId="0" fillId="0" borderId="0" applyFont="0" applyFill="0" applyBorder="0" applyAlignment="0" applyProtection="0">
      <alignment vertical="center"/>
    </xf>
    <xf numFmtId="0" fontId="31" fillId="0" borderId="117" applyNumberFormat="0" applyFill="0" applyAlignment="0" applyProtection="0">
      <alignment vertical="center"/>
    </xf>
    <xf numFmtId="0" fontId="0" fillId="0" borderId="0"/>
    <xf numFmtId="0" fontId="38" fillId="0" borderId="120" applyNumberFormat="0" applyFill="0" applyAlignment="0" applyProtection="0">
      <alignment vertical="center"/>
    </xf>
    <xf numFmtId="0" fontId="21" fillId="13" borderId="0" applyNumberFormat="0" applyBorder="0" applyAlignment="0" applyProtection="0">
      <alignment vertical="center"/>
    </xf>
    <xf numFmtId="0" fontId="19" fillId="9" borderId="0" applyNumberFormat="0" applyBorder="0" applyAlignment="0" applyProtection="0">
      <alignment vertical="center"/>
    </xf>
    <xf numFmtId="0" fontId="13" fillId="29" borderId="0" applyNumberFormat="0" applyBorder="0" applyAlignment="0" applyProtection="0">
      <alignment vertical="center"/>
    </xf>
    <xf numFmtId="0" fontId="14" fillId="0" borderId="0" applyFont="0" applyFill="0" applyBorder="0" applyAlignment="0" applyProtection="0"/>
    <xf numFmtId="0" fontId="14" fillId="0" borderId="0" applyFont="0" applyFill="0" applyBorder="0" applyAlignment="0" applyProtection="0"/>
    <xf numFmtId="0" fontId="18" fillId="20" borderId="0" applyNumberFormat="0" applyBorder="0" applyAlignment="0" applyProtection="0">
      <alignment vertical="center"/>
    </xf>
    <xf numFmtId="0" fontId="13" fillId="18" borderId="0" applyNumberFormat="0" applyBorder="0" applyAlignment="0" applyProtection="0">
      <alignment vertical="center"/>
    </xf>
    <xf numFmtId="0" fontId="13" fillId="5" borderId="0" applyNumberFormat="0" applyBorder="0" applyAlignment="0" applyProtection="0">
      <alignment vertical="center"/>
    </xf>
    <xf numFmtId="0" fontId="13" fillId="15" borderId="0" applyNumberFormat="0" applyBorder="0" applyAlignment="0" applyProtection="0">
      <alignment vertical="center"/>
    </xf>
    <xf numFmtId="0" fontId="13" fillId="7" borderId="0" applyNumberFormat="0" applyBorder="0" applyAlignment="0" applyProtection="0">
      <alignment vertical="center"/>
    </xf>
    <xf numFmtId="0" fontId="14" fillId="0" borderId="0" applyFont="0" applyFill="0" applyBorder="0" applyAlignment="0" applyProtection="0"/>
    <xf numFmtId="0" fontId="14" fillId="0" borderId="0" applyFont="0" applyFill="0" applyBorder="0" applyAlignment="0" applyProtection="0"/>
    <xf numFmtId="0" fontId="18" fillId="28" borderId="0" applyNumberFormat="0" applyBorder="0" applyAlignment="0" applyProtection="0">
      <alignment vertical="center"/>
    </xf>
    <xf numFmtId="0" fontId="14" fillId="0" borderId="0" applyFont="0" applyFill="0" applyBorder="0" applyAlignment="0" applyProtection="0"/>
    <xf numFmtId="0" fontId="14" fillId="0" borderId="0" applyFont="0" applyFill="0" applyBorder="0" applyAlignment="0" applyProtection="0"/>
    <xf numFmtId="0" fontId="18" fillId="19" borderId="0" applyNumberFormat="0" applyBorder="0" applyAlignment="0" applyProtection="0">
      <alignment vertical="center"/>
    </xf>
    <xf numFmtId="0" fontId="13" fillId="17" borderId="0" applyNumberFormat="0" applyBorder="0" applyAlignment="0" applyProtection="0">
      <alignment vertical="center"/>
    </xf>
    <xf numFmtId="37" fontId="23" fillId="16" borderId="114" applyNumberFormat="0" applyFont="0" applyAlignment="0" applyProtection="0"/>
    <xf numFmtId="0" fontId="13" fillId="30" borderId="0" applyNumberFormat="0" applyBorder="0" applyAlignment="0" applyProtection="0">
      <alignment vertical="center"/>
    </xf>
    <xf numFmtId="0" fontId="14" fillId="0" borderId="0" applyFont="0" applyFill="0" applyBorder="0" applyAlignment="0" applyProtection="0"/>
    <xf numFmtId="0" fontId="14" fillId="0" borderId="0" applyFont="0" applyFill="0" applyBorder="0" applyAlignment="0" applyProtection="0"/>
    <xf numFmtId="0" fontId="18" fillId="31" borderId="0" applyNumberFormat="0" applyBorder="0" applyAlignment="0" applyProtection="0">
      <alignment vertical="center"/>
    </xf>
    <xf numFmtId="37" fontId="23" fillId="16" borderId="114" applyNumberFormat="0" applyFont="0" applyAlignment="0" applyProtection="0"/>
    <xf numFmtId="0" fontId="13" fillId="32" borderId="0" applyNumberFormat="0" applyBorder="0" applyAlignment="0" applyProtection="0">
      <alignment vertical="center"/>
    </xf>
    <xf numFmtId="0" fontId="18" fillId="22" borderId="0" applyNumberFormat="0" applyBorder="0" applyAlignment="0" applyProtection="0">
      <alignment vertical="center"/>
    </xf>
    <xf numFmtId="0" fontId="14" fillId="0" borderId="0" applyFont="0" applyFill="0" applyBorder="0" applyAlignment="0" applyProtection="0"/>
    <xf numFmtId="0" fontId="18" fillId="33" borderId="0" applyNumberFormat="0" applyBorder="0" applyAlignment="0" applyProtection="0">
      <alignment vertical="center"/>
    </xf>
    <xf numFmtId="37" fontId="23" fillId="16" borderId="114" applyNumberFormat="0" applyFont="0" applyAlignment="0" applyProtection="0"/>
    <xf numFmtId="0" fontId="13" fillId="34" borderId="0" applyNumberFormat="0" applyBorder="0" applyAlignment="0" applyProtection="0">
      <alignment vertical="center"/>
    </xf>
    <xf numFmtId="0" fontId="18" fillId="35" borderId="0" applyNumberFormat="0" applyBorder="0" applyAlignment="0" applyProtection="0">
      <alignment vertical="center"/>
    </xf>
    <xf numFmtId="0" fontId="27" fillId="0" borderId="0">
      <alignment vertical="top"/>
    </xf>
    <xf numFmtId="177" fontId="23" fillId="0" borderId="0" applyFont="0" applyFill="0" applyBorder="0" applyAlignment="0" applyProtection="0"/>
    <xf numFmtId="178" fontId="14" fillId="0" borderId="121"/>
    <xf numFmtId="0" fontId="32" fillId="0" borderId="0"/>
    <xf numFmtId="0" fontId="39" fillId="0" borderId="0"/>
    <xf numFmtId="43" fontId="17" fillId="0" borderId="0" applyFont="0" applyFill="0" applyBorder="0" applyAlignment="0" applyProtection="0">
      <alignment vertical="center"/>
    </xf>
    <xf numFmtId="0" fontId="32" fillId="0" borderId="0"/>
    <xf numFmtId="0" fontId="27" fillId="0" borderId="0">
      <alignment vertical="top"/>
    </xf>
    <xf numFmtId="0" fontId="40" fillId="0" borderId="0"/>
    <xf numFmtId="0" fontId="8" fillId="0" borderId="0" applyNumberFormat="0" applyFill="0" applyBorder="0" applyAlignment="0" applyProtection="0">
      <alignment vertical="center"/>
    </xf>
    <xf numFmtId="176" fontId="28" fillId="0" borderId="0" applyFont="0" applyFill="0" applyBorder="0" applyAlignment="0" applyProtection="0"/>
    <xf numFmtId="179" fontId="23" fillId="0" borderId="0" applyFill="0" applyBorder="0">
      <alignment horizontal="right"/>
    </xf>
    <xf numFmtId="0" fontId="14" fillId="0" borderId="0" applyFont="0" applyFill="0" applyBorder="0" applyAlignment="0" applyProtection="0"/>
    <xf numFmtId="0" fontId="14" fillId="0" borderId="0" applyFont="0" applyFill="0" applyBorder="0" applyAlignment="0" applyProtection="0"/>
    <xf numFmtId="0" fontId="14" fillId="0" borderId="0" applyFont="0" applyFill="0" applyBorder="0" applyAlignment="0" applyProtection="0"/>
    <xf numFmtId="0" fontId="14" fillId="0" borderId="0" applyFont="0" applyFill="0" applyBorder="0" applyAlignment="0" applyProtection="0"/>
    <xf numFmtId="0" fontId="14" fillId="0" borderId="0" applyFont="0" applyFill="0" applyBorder="0" applyAlignment="0" applyProtection="0"/>
    <xf numFmtId="0" fontId="14" fillId="0" borderId="0" applyFont="0" applyFill="0" applyBorder="0" applyAlignment="0" applyProtection="0"/>
    <xf numFmtId="0" fontId="14" fillId="0" borderId="0" applyFont="0" applyFill="0" applyBorder="0" applyAlignment="0" applyProtection="0"/>
    <xf numFmtId="0" fontId="14" fillId="0" borderId="0" applyFont="0" applyFill="0" applyBorder="0" applyAlignment="0" applyProtection="0"/>
    <xf numFmtId="0" fontId="14" fillId="0" borderId="0" applyFont="0" applyFill="0" applyBorder="0" applyAlignment="0" applyProtection="0"/>
    <xf numFmtId="0" fontId="14" fillId="0" borderId="0" applyFont="0" applyFill="0" applyBorder="0" applyAlignment="0" applyProtection="0"/>
    <xf numFmtId="0" fontId="14" fillId="0" borderId="0" applyFont="0" applyFill="0" applyBorder="0" applyAlignment="0" applyProtection="0"/>
    <xf numFmtId="0" fontId="14" fillId="0" borderId="0" applyFont="0" applyFill="0" applyBorder="0" applyAlignment="0" applyProtection="0"/>
    <xf numFmtId="0" fontId="14" fillId="0" borderId="0" applyFont="0" applyFill="0" applyBorder="0" applyAlignment="0" applyProtection="0"/>
    <xf numFmtId="0" fontId="14" fillId="0" borderId="0" applyFont="0" applyFill="0" applyBorder="0" applyAlignment="0" applyProtection="0"/>
    <xf numFmtId="0" fontId="14" fillId="0" borderId="0" applyFont="0" applyFill="0" applyBorder="0" applyAlignment="0" applyProtection="0"/>
    <xf numFmtId="0" fontId="14" fillId="0" borderId="0" applyFont="0" applyFill="0" applyBorder="0" applyAlignment="0" applyProtection="0"/>
    <xf numFmtId="0" fontId="14" fillId="0" borderId="0" applyFont="0" applyFill="0" applyBorder="0" applyAlignment="0" applyProtection="0"/>
    <xf numFmtId="0" fontId="14" fillId="0" borderId="0" applyFont="0" applyFill="0" applyBorder="0" applyAlignment="0" applyProtection="0"/>
    <xf numFmtId="0" fontId="14" fillId="0" borderId="0" applyFont="0" applyFill="0" applyBorder="0" applyAlignment="0" applyProtection="0"/>
    <xf numFmtId="0" fontId="14" fillId="0" borderId="0" applyFont="0" applyFill="0" applyBorder="0" applyAlignment="0" applyProtection="0"/>
    <xf numFmtId="0" fontId="14" fillId="0" borderId="0" applyFont="0" applyFill="0" applyBorder="0" applyAlignment="0" applyProtection="0"/>
    <xf numFmtId="0" fontId="14" fillId="0" borderId="0" applyFont="0" applyFill="0" applyBorder="0" applyAlignment="0" applyProtection="0"/>
    <xf numFmtId="0" fontId="14" fillId="0" borderId="0" applyFont="0" applyFill="0" applyBorder="0" applyAlignment="0" applyProtection="0"/>
    <xf numFmtId="0" fontId="14" fillId="0" borderId="0" applyFont="0" applyFill="0" applyBorder="0" applyAlignment="0" applyProtection="0"/>
    <xf numFmtId="0" fontId="14" fillId="0" borderId="0" applyFont="0" applyFill="0" applyBorder="0" applyAlignment="0" applyProtection="0"/>
    <xf numFmtId="0" fontId="14" fillId="0" borderId="0" applyFont="0" applyFill="0" applyBorder="0" applyAlignment="0" applyProtection="0"/>
    <xf numFmtId="0" fontId="14" fillId="0" borderId="0" applyFont="0" applyFill="0" applyBorder="0" applyAlignment="0" applyProtection="0"/>
    <xf numFmtId="0" fontId="14" fillId="0" borderId="0" applyFont="0" applyFill="0" applyBorder="0" applyAlignment="0" applyProtection="0"/>
    <xf numFmtId="0" fontId="14" fillId="0" borderId="0" applyFont="0" applyFill="0" applyBorder="0" applyAlignment="0" applyProtection="0"/>
    <xf numFmtId="0" fontId="14" fillId="0" borderId="0" applyFont="0" applyFill="0" applyBorder="0" applyAlignment="0" applyProtection="0"/>
    <xf numFmtId="0" fontId="14" fillId="0" borderId="0" applyFont="0" applyFill="0" applyBorder="0" applyAlignment="0" applyProtection="0"/>
    <xf numFmtId="0" fontId="0" fillId="0" borderId="0"/>
    <xf numFmtId="0" fontId="14" fillId="0" borderId="0" applyFont="0" applyFill="0" applyBorder="0" applyAlignment="0" applyProtection="0"/>
    <xf numFmtId="0" fontId="14" fillId="0" borderId="0" applyFont="0" applyFill="0" applyBorder="0" applyAlignment="0" applyProtection="0"/>
    <xf numFmtId="0" fontId="14" fillId="0" borderId="0" applyFont="0" applyFill="0" applyBorder="0" applyAlignment="0" applyProtection="0"/>
    <xf numFmtId="0" fontId="40" fillId="0" borderId="0"/>
    <xf numFmtId="0" fontId="14" fillId="0" borderId="0" applyFont="0" applyFill="0" applyBorder="0" applyAlignment="0" applyProtection="0"/>
    <xf numFmtId="37" fontId="23" fillId="16" borderId="114" applyNumberFormat="0" applyFont="0" applyAlignment="0" applyProtection="0"/>
    <xf numFmtId="9" fontId="0" fillId="0" borderId="0" applyFont="0" applyFill="0" applyBorder="0" applyAlignment="0" applyProtection="0"/>
    <xf numFmtId="37" fontId="23" fillId="16" borderId="114" applyNumberFormat="0" applyFont="0" applyAlignment="0" applyProtection="0"/>
    <xf numFmtId="9" fontId="17" fillId="0" borderId="0" applyFont="0" applyFill="0" applyBorder="0" applyAlignment="0" applyProtection="0">
      <alignment vertical="center"/>
    </xf>
    <xf numFmtId="37" fontId="23" fillId="16" borderId="114" applyNumberFormat="0" applyFont="0" applyAlignment="0" applyProtection="0"/>
    <xf numFmtId="9" fontId="0" fillId="0" borderId="0" applyFont="0" applyFill="0" applyBorder="0" applyAlignment="0" applyProtection="0">
      <alignment vertical="center"/>
    </xf>
    <xf numFmtId="37" fontId="23" fillId="16" borderId="114" applyNumberFormat="0" applyFont="0" applyAlignment="0" applyProtection="0"/>
    <xf numFmtId="37" fontId="23" fillId="16" borderId="114" applyNumberFormat="0" applyFont="0" applyAlignment="0" applyProtection="0"/>
    <xf numFmtId="37" fontId="23" fillId="16" borderId="114" applyNumberFormat="0" applyFont="0" applyAlignment="0" applyProtection="0"/>
    <xf numFmtId="37" fontId="23" fillId="16" borderId="114" applyNumberFormat="0" applyFont="0" applyAlignment="0" applyProtection="0"/>
    <xf numFmtId="37" fontId="23" fillId="16" borderId="114" applyNumberFormat="0" applyFont="0" applyAlignment="0" applyProtection="0"/>
    <xf numFmtId="37" fontId="23" fillId="16" borderId="114" applyNumberFormat="0" applyFont="0" applyAlignment="0" applyProtection="0"/>
    <xf numFmtId="37" fontId="23" fillId="16" borderId="114" applyNumberFormat="0" applyFont="0" applyAlignment="0" applyProtection="0"/>
    <xf numFmtId="37" fontId="23" fillId="16" borderId="114" applyNumberFormat="0" applyFont="0" applyAlignment="0" applyProtection="0"/>
    <xf numFmtId="37" fontId="23" fillId="16" borderId="114" applyNumberFormat="0" applyFont="0" applyAlignment="0" applyProtection="0"/>
    <xf numFmtId="37" fontId="23" fillId="16" borderId="114" applyNumberFormat="0" applyFont="0" applyAlignment="0" applyProtection="0"/>
    <xf numFmtId="37" fontId="23" fillId="16" borderId="114" applyNumberFormat="0" applyFont="0" applyAlignment="0" applyProtection="0"/>
    <xf numFmtId="37" fontId="23" fillId="16" borderId="114" applyNumberFormat="0" applyFont="0" applyAlignment="0" applyProtection="0"/>
    <xf numFmtId="37" fontId="23" fillId="16" borderId="114" applyNumberFormat="0" applyFont="0" applyAlignment="0" applyProtection="0"/>
    <xf numFmtId="37" fontId="23" fillId="16" borderId="114" applyNumberFormat="0" applyFont="0" applyAlignment="0" applyProtection="0"/>
    <xf numFmtId="37" fontId="23" fillId="16" borderId="114" applyNumberFormat="0" applyFont="0" applyAlignment="0" applyProtection="0"/>
    <xf numFmtId="37" fontId="23" fillId="16" borderId="114" applyNumberFormat="0" applyFont="0" applyAlignment="0" applyProtection="0"/>
    <xf numFmtId="37" fontId="23" fillId="16" borderId="114" applyNumberFormat="0" applyFont="0" applyAlignment="0" applyProtection="0"/>
    <xf numFmtId="37" fontId="23" fillId="16" borderId="114" applyNumberFormat="0" applyFont="0" applyAlignment="0" applyProtection="0"/>
    <xf numFmtId="37" fontId="23" fillId="16" borderId="114" applyNumberFormat="0" applyFont="0" applyAlignment="0" applyProtection="0"/>
    <xf numFmtId="37" fontId="23" fillId="16" borderId="114" applyNumberFormat="0" applyFont="0" applyAlignment="0" applyProtection="0"/>
    <xf numFmtId="182" fontId="40" fillId="0" borderId="0" applyFont="0" applyFill="0" applyBorder="0" applyAlignment="0" applyProtection="0"/>
    <xf numFmtId="37" fontId="23" fillId="16" borderId="114" applyNumberFormat="0" applyFont="0" applyAlignment="0" applyProtection="0"/>
    <xf numFmtId="37" fontId="23" fillId="16" borderId="114" applyNumberFormat="0" applyFont="0" applyAlignment="0" applyProtection="0"/>
    <xf numFmtId="37" fontId="23" fillId="16" borderId="114" applyNumberFormat="0" applyFont="0" applyAlignment="0" applyProtection="0"/>
    <xf numFmtId="37" fontId="23" fillId="16" borderId="114" applyNumberFormat="0" applyFont="0" applyAlignment="0" applyProtection="0"/>
    <xf numFmtId="37" fontId="23" fillId="16" borderId="114" applyNumberFormat="0" applyFont="0" applyAlignment="0" applyProtection="0"/>
    <xf numFmtId="37" fontId="23" fillId="16" borderId="114" applyNumberFormat="0" applyFont="0" applyAlignment="0" applyProtection="0"/>
    <xf numFmtId="37" fontId="23" fillId="16" borderId="114" applyNumberFormat="0" applyFont="0" applyAlignment="0" applyProtection="0"/>
    <xf numFmtId="37" fontId="23" fillId="16" borderId="114" applyNumberFormat="0" applyFont="0" applyAlignment="0" applyProtection="0"/>
    <xf numFmtId="37" fontId="23" fillId="16" borderId="114" applyNumberFormat="0" applyFont="0" applyAlignment="0" applyProtection="0"/>
    <xf numFmtId="37" fontId="23" fillId="16" borderId="114" applyNumberFormat="0" applyFont="0" applyAlignment="0" applyProtection="0"/>
    <xf numFmtId="37" fontId="23" fillId="16" borderId="114" applyNumberFormat="0" applyFont="0" applyAlignment="0" applyProtection="0"/>
    <xf numFmtId="185" fontId="46" fillId="0" borderId="0"/>
    <xf numFmtId="183" fontId="28" fillId="0" borderId="0" applyFont="0" applyFill="0" applyBorder="0" applyAlignment="0" applyProtection="0"/>
    <xf numFmtId="0" fontId="28" fillId="0" borderId="0"/>
    <xf numFmtId="0" fontId="28" fillId="0" borderId="0"/>
    <xf numFmtId="0" fontId="28" fillId="0" borderId="0"/>
    <xf numFmtId="179" fontId="23" fillId="0" borderId="0"/>
    <xf numFmtId="180" fontId="23" fillId="0" borderId="0" applyFont="0" applyFill="0" applyBorder="0" applyAlignment="0" applyProtection="0"/>
    <xf numFmtId="0" fontId="17" fillId="0" borderId="0">
      <alignment vertical="center"/>
    </xf>
    <xf numFmtId="10" fontId="28" fillId="0" borderId="0" applyFont="0" applyFill="0" applyBorder="0" applyAlignment="0" applyProtection="0"/>
    <xf numFmtId="179" fontId="45" fillId="0" borderId="0" applyNumberFormat="0" applyFill="0" applyBorder="0" applyAlignment="0" applyProtection="0"/>
    <xf numFmtId="181" fontId="27" fillId="0" borderId="0"/>
    <xf numFmtId="1" fontId="44" fillId="0" borderId="0"/>
    <xf numFmtId="9" fontId="0" fillId="0" borderId="0" applyFont="0" applyFill="0" applyBorder="0" applyAlignment="0" applyProtection="0">
      <alignment vertical="center"/>
    </xf>
    <xf numFmtId="9" fontId="0" fillId="0" borderId="0" applyFont="0" applyFill="0" applyBorder="0" applyAlignment="0" applyProtection="0">
      <alignment vertical="center"/>
    </xf>
    <xf numFmtId="9" fontId="0" fillId="0" borderId="0" applyFont="0" applyFill="0" applyBorder="0" applyAlignment="0" applyProtection="0">
      <alignment vertical="center"/>
    </xf>
    <xf numFmtId="9" fontId="0" fillId="0" borderId="0" applyFont="0" applyFill="0" applyBorder="0" applyAlignment="0" applyProtection="0">
      <alignment vertical="center"/>
    </xf>
    <xf numFmtId="9" fontId="0" fillId="0" borderId="0" applyFont="0" applyFill="0" applyBorder="0" applyAlignment="0" applyProtection="0">
      <alignment vertical="center"/>
    </xf>
    <xf numFmtId="9" fontId="0" fillId="0" borderId="0" applyFont="0" applyFill="0" applyBorder="0" applyAlignment="0" applyProtection="0">
      <alignment vertical="center"/>
    </xf>
    <xf numFmtId="9" fontId="0" fillId="0" borderId="0" applyFont="0" applyFill="0" applyBorder="0" applyAlignment="0" applyProtection="0">
      <alignment vertical="center"/>
    </xf>
    <xf numFmtId="9" fontId="0" fillId="0" borderId="0" applyFont="0" applyFill="0" applyBorder="0" applyAlignment="0" applyProtection="0">
      <alignment vertical="center"/>
    </xf>
    <xf numFmtId="9" fontId="0" fillId="0" borderId="0" applyFont="0" applyFill="0" applyBorder="0" applyAlignment="0" applyProtection="0">
      <alignment vertical="center"/>
    </xf>
    <xf numFmtId="9" fontId="0" fillId="0" borderId="0" applyFont="0" applyFill="0" applyBorder="0" applyAlignment="0" applyProtection="0">
      <alignment vertical="center"/>
    </xf>
    <xf numFmtId="9" fontId="0" fillId="0" borderId="0" applyFont="0" applyFill="0" applyBorder="0" applyAlignment="0" applyProtection="0">
      <alignment vertical="center"/>
    </xf>
    <xf numFmtId="9" fontId="0" fillId="0" borderId="0" applyFont="0" applyFill="0" applyBorder="0" applyAlignment="0" applyProtection="0">
      <alignment vertical="center"/>
    </xf>
    <xf numFmtId="0" fontId="30" fillId="24" borderId="0" applyNumberFormat="0" applyBorder="0" applyAlignment="0" applyProtection="0">
      <alignment vertical="center"/>
    </xf>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alignment vertical="center"/>
    </xf>
    <xf numFmtId="0" fontId="27" fillId="0" borderId="0">
      <alignment vertical="top"/>
    </xf>
    <xf numFmtId="0" fontId="40" fillId="0" borderId="0"/>
    <xf numFmtId="0" fontId="0" fillId="0" borderId="0">
      <alignment vertical="center"/>
    </xf>
    <xf numFmtId="0" fontId="47" fillId="0" borderId="0"/>
    <xf numFmtId="0" fontId="25" fillId="0" borderId="0" applyNumberFormat="0" applyFill="0" applyBorder="0" applyAlignment="0" applyProtection="0">
      <alignment vertical="top"/>
      <protection locked="0"/>
    </xf>
    <xf numFmtId="0" fontId="42" fillId="0" borderId="0" applyNumberFormat="0" applyFill="0" applyBorder="0" applyAlignment="0" applyProtection="0">
      <alignment vertical="top"/>
      <protection locked="0"/>
    </xf>
    <xf numFmtId="0" fontId="41" fillId="36" borderId="0" applyNumberFormat="0" applyBorder="0" applyAlignment="0" applyProtection="0">
      <alignment vertical="center"/>
    </xf>
    <xf numFmtId="0" fontId="41" fillId="36" borderId="0" applyNumberFormat="0" applyBorder="0" applyAlignment="0" applyProtection="0">
      <alignment vertical="center"/>
    </xf>
    <xf numFmtId="0" fontId="43" fillId="0" borderId="0" applyNumberFormat="0" applyFill="0" applyBorder="0" applyAlignment="0" applyProtection="0">
      <alignment vertical="top"/>
      <protection locked="0"/>
    </xf>
    <xf numFmtId="44" fontId="0" fillId="0" borderId="0" applyFont="0" applyFill="0" applyBorder="0" applyAlignment="0" applyProtection="0">
      <alignment vertical="center"/>
    </xf>
    <xf numFmtId="176" fontId="40" fillId="0" borderId="0" applyFont="0" applyFill="0" applyBorder="0" applyAlignment="0" applyProtection="0"/>
    <xf numFmtId="43" fontId="0" fillId="0" borderId="0" applyFont="0" applyFill="0" applyBorder="0" applyAlignment="0" applyProtection="0">
      <alignment vertical="center"/>
    </xf>
    <xf numFmtId="43" fontId="0" fillId="0" borderId="0" applyFont="0" applyFill="0" applyBorder="0" applyAlignment="0" applyProtection="0">
      <alignment vertical="center"/>
    </xf>
    <xf numFmtId="184" fontId="28" fillId="0" borderId="0" applyFont="0" applyFill="0" applyBorder="0" applyAlignment="0" applyProtection="0"/>
    <xf numFmtId="43" fontId="0" fillId="0" borderId="0" applyFont="0" applyFill="0" applyBorder="0" applyAlignment="0" applyProtection="0"/>
    <xf numFmtId="43" fontId="0" fillId="0" borderId="0" applyFont="0" applyFill="0" applyBorder="0" applyAlignment="0" applyProtection="0">
      <alignment vertical="center"/>
    </xf>
    <xf numFmtId="43" fontId="0" fillId="0" borderId="0" applyFont="0" applyFill="0" applyBorder="0" applyAlignment="0" applyProtection="0">
      <alignment vertical="center"/>
    </xf>
    <xf numFmtId="43" fontId="0" fillId="0" borderId="0" applyFont="0" applyFill="0" applyBorder="0" applyAlignment="0" applyProtection="0">
      <alignment vertical="center"/>
    </xf>
    <xf numFmtId="0" fontId="40" fillId="0" borderId="0"/>
  </cellStyleXfs>
  <cellXfs count="530">
    <xf numFmtId="0" fontId="0" fillId="0" borderId="0" xfId="0"/>
    <xf numFmtId="0" fontId="1" fillId="0" borderId="0" xfId="0" applyFont="1" applyAlignment="1">
      <alignment vertical="center"/>
    </xf>
    <xf numFmtId="186" fontId="1" fillId="0" borderId="0" xfId="0" applyNumberFormat="1" applyFont="1" applyFill="1"/>
    <xf numFmtId="186" fontId="1" fillId="0" borderId="0" xfId="0" applyNumberFormat="1" applyFont="1" applyFill="1" applyAlignment="1">
      <alignment vertical="center"/>
    </xf>
    <xf numFmtId="0" fontId="1" fillId="0" borderId="0" xfId="0" applyFont="1" applyFill="1"/>
    <xf numFmtId="186" fontId="1" fillId="0" borderId="0" xfId="0" applyNumberFormat="1" applyFont="1"/>
    <xf numFmtId="186" fontId="0" fillId="0" borderId="0" xfId="0" applyNumberFormat="1" applyFont="1"/>
    <xf numFmtId="186" fontId="2" fillId="0" borderId="0" xfId="0" applyNumberFormat="1" applyFont="1" applyAlignment="1">
      <alignment horizontal="center" vertical="center"/>
    </xf>
    <xf numFmtId="0" fontId="1" fillId="0" borderId="0" xfId="0" applyFont="1" applyAlignment="1">
      <alignment horizontal="left" vertical="center"/>
    </xf>
    <xf numFmtId="186" fontId="1" fillId="2" borderId="1" xfId="0" applyNumberFormat="1" applyFont="1" applyFill="1" applyBorder="1" applyAlignment="1">
      <alignment horizontal="center" vertical="center" wrapText="1"/>
    </xf>
    <xf numFmtId="186" fontId="1" fillId="2" borderId="2" xfId="0" applyNumberFormat="1" applyFont="1" applyFill="1" applyBorder="1" applyAlignment="1">
      <alignment horizontal="center" vertical="center"/>
    </xf>
    <xf numFmtId="186" fontId="1" fillId="2" borderId="3" xfId="0" applyNumberFormat="1" applyFont="1" applyFill="1" applyBorder="1" applyAlignment="1">
      <alignment horizontal="center" vertical="center" wrapText="1"/>
    </xf>
    <xf numFmtId="186" fontId="1" fillId="2" borderId="4" xfId="0" applyNumberFormat="1" applyFont="1" applyFill="1" applyBorder="1" applyAlignment="1">
      <alignment horizontal="center" vertical="center"/>
    </xf>
    <xf numFmtId="186" fontId="1" fillId="2" borderId="5" xfId="0" applyNumberFormat="1" applyFont="1" applyFill="1" applyBorder="1" applyAlignment="1">
      <alignment horizontal="center" vertical="center"/>
    </xf>
    <xf numFmtId="186" fontId="1" fillId="2" borderId="6" xfId="0" applyNumberFormat="1" applyFont="1" applyFill="1" applyBorder="1" applyAlignment="1">
      <alignment horizontal="center" vertical="center"/>
    </xf>
    <xf numFmtId="186" fontId="1" fillId="0" borderId="7" xfId="0" applyNumberFormat="1" applyFont="1" applyFill="1" applyBorder="1" applyAlignment="1">
      <alignment horizontal="left" vertical="center"/>
    </xf>
    <xf numFmtId="187" fontId="1" fillId="0" borderId="8" xfId="0" applyNumberFormat="1" applyFont="1" applyFill="1" applyBorder="1" applyAlignment="1">
      <alignment horizontal="center" vertical="center"/>
    </xf>
    <xf numFmtId="187" fontId="1" fillId="0" borderId="9" xfId="0" applyNumberFormat="1" applyFont="1" applyFill="1" applyBorder="1" applyAlignment="1">
      <alignment horizontal="center" vertical="center"/>
    </xf>
    <xf numFmtId="187" fontId="1" fillId="0" borderId="7" xfId="0" applyNumberFormat="1" applyFont="1" applyFill="1" applyBorder="1" applyAlignment="1">
      <alignment horizontal="center" vertical="center"/>
    </xf>
    <xf numFmtId="186" fontId="1" fillId="0" borderId="10" xfId="0" applyNumberFormat="1" applyFont="1" applyFill="1" applyBorder="1" applyAlignment="1">
      <alignment horizontal="left" vertical="center"/>
    </xf>
    <xf numFmtId="187" fontId="1" fillId="0" borderId="11" xfId="0" applyNumberFormat="1" applyFont="1" applyFill="1" applyBorder="1" applyAlignment="1">
      <alignment horizontal="center" vertical="center"/>
    </xf>
    <xf numFmtId="187" fontId="1" fillId="0" borderId="10" xfId="0" applyNumberFormat="1" applyFont="1" applyFill="1" applyBorder="1" applyAlignment="1">
      <alignment horizontal="center" vertical="center"/>
    </xf>
    <xf numFmtId="186" fontId="3" fillId="2" borderId="12" xfId="0" applyNumberFormat="1" applyFont="1" applyFill="1" applyBorder="1" applyAlignment="1">
      <alignment horizontal="center" vertical="center"/>
    </xf>
    <xf numFmtId="187" fontId="1" fillId="2" borderId="13" xfId="0" applyNumberFormat="1" applyFont="1" applyFill="1" applyBorder="1" applyAlignment="1">
      <alignment horizontal="center" vertical="center"/>
    </xf>
    <xf numFmtId="187" fontId="1" fillId="2" borderId="14" xfId="0" applyNumberFormat="1" applyFont="1" applyFill="1" applyBorder="1" applyAlignment="1">
      <alignment horizontal="center" vertical="center"/>
    </xf>
    <xf numFmtId="186" fontId="3" fillId="0" borderId="0" xfId="0" applyNumberFormat="1" applyFont="1" applyFill="1" applyBorder="1" applyAlignment="1">
      <alignment horizontal="center"/>
    </xf>
    <xf numFmtId="188" fontId="3" fillId="0" borderId="0" xfId="0" applyNumberFormat="1" applyFont="1" applyFill="1" applyBorder="1" applyAlignment="1">
      <alignment horizontal="right"/>
    </xf>
    <xf numFmtId="186" fontId="1" fillId="0" borderId="0" xfId="0" applyNumberFormat="1" applyFont="1" applyFill="1" applyBorder="1" applyAlignment="1">
      <alignment horizontal="left"/>
    </xf>
    <xf numFmtId="186" fontId="1" fillId="2" borderId="15" xfId="0" applyNumberFormat="1" applyFont="1" applyFill="1" applyBorder="1" applyAlignment="1">
      <alignment horizontal="center" vertical="center"/>
    </xf>
    <xf numFmtId="186" fontId="1" fillId="2" borderId="16" xfId="0" applyNumberFormat="1" applyFont="1" applyFill="1" applyBorder="1" applyAlignment="1">
      <alignment horizontal="center" vertical="center"/>
    </xf>
    <xf numFmtId="187" fontId="1" fillId="0" borderId="17" xfId="0" applyNumberFormat="1" applyFont="1" applyFill="1" applyBorder="1" applyAlignment="1">
      <alignment horizontal="center" vertical="center"/>
    </xf>
    <xf numFmtId="187" fontId="1" fillId="0" borderId="18" xfId="0" applyNumberFormat="1" applyFont="1" applyFill="1" applyBorder="1" applyAlignment="1">
      <alignment horizontal="center" vertical="center"/>
    </xf>
    <xf numFmtId="187" fontId="1" fillId="0" borderId="19" xfId="0" applyNumberFormat="1" applyFont="1" applyFill="1" applyBorder="1" applyAlignment="1">
      <alignment horizontal="center" vertical="center"/>
    </xf>
    <xf numFmtId="186" fontId="1" fillId="2" borderId="20" xfId="0" applyNumberFormat="1" applyFont="1" applyFill="1" applyBorder="1" applyAlignment="1">
      <alignment horizontal="center" vertical="center" wrapText="1"/>
    </xf>
    <xf numFmtId="186" fontId="1" fillId="2" borderId="21" xfId="0" applyNumberFormat="1" applyFont="1" applyFill="1" applyBorder="1" applyAlignment="1" applyProtection="1">
      <alignment horizontal="center" vertical="center" wrapText="1"/>
    </xf>
    <xf numFmtId="186" fontId="1" fillId="2" borderId="21" xfId="0" applyNumberFormat="1" applyFont="1" applyFill="1" applyBorder="1" applyAlignment="1">
      <alignment horizontal="center" vertical="center" wrapText="1"/>
    </xf>
    <xf numFmtId="186" fontId="1" fillId="2" borderId="22" xfId="0" applyNumberFormat="1" applyFont="1" applyFill="1" applyBorder="1" applyAlignment="1">
      <alignment horizontal="center" vertical="center" wrapText="1"/>
    </xf>
    <xf numFmtId="186" fontId="1" fillId="2" borderId="23" xfId="0" applyNumberFormat="1" applyFont="1" applyFill="1" applyBorder="1" applyAlignment="1">
      <alignment horizontal="center" vertical="center" wrapText="1"/>
    </xf>
    <xf numFmtId="186" fontId="1" fillId="2" borderId="24" xfId="0" applyNumberFormat="1" applyFont="1" applyFill="1" applyBorder="1" applyAlignment="1" applyProtection="1">
      <alignment horizontal="center" vertical="center" wrapText="1"/>
    </xf>
    <xf numFmtId="186" fontId="1" fillId="2" borderId="24" xfId="0" applyNumberFormat="1" applyFont="1" applyFill="1" applyBorder="1" applyAlignment="1">
      <alignment horizontal="center" vertical="center" wrapText="1"/>
    </xf>
    <xf numFmtId="186" fontId="1" fillId="2" borderId="25" xfId="0" applyNumberFormat="1" applyFont="1" applyFill="1" applyBorder="1" applyAlignment="1">
      <alignment horizontal="center" vertical="center" wrapText="1"/>
    </xf>
    <xf numFmtId="9" fontId="1" fillId="0" borderId="9" xfId="12" applyFont="1" applyFill="1" applyBorder="1" applyAlignment="1">
      <alignment horizontal="center" vertical="center"/>
    </xf>
    <xf numFmtId="186" fontId="1" fillId="0" borderId="26" xfId="0" applyNumberFormat="1" applyFont="1" applyFill="1" applyBorder="1" applyAlignment="1">
      <alignment horizontal="center" vertical="center"/>
    </xf>
    <xf numFmtId="186" fontId="1" fillId="0" borderId="27" xfId="0" applyNumberFormat="1" applyFont="1" applyFill="1" applyBorder="1" applyAlignment="1">
      <alignment horizontal="center" vertical="center"/>
    </xf>
    <xf numFmtId="187" fontId="3" fillId="2" borderId="28" xfId="0" applyNumberFormat="1" applyFont="1" applyFill="1" applyBorder="1" applyAlignment="1">
      <alignment horizontal="center" vertical="center"/>
    </xf>
    <xf numFmtId="187" fontId="1" fillId="2" borderId="29" xfId="0" applyNumberFormat="1" applyFont="1" applyFill="1" applyBorder="1" applyAlignment="1">
      <alignment horizontal="center" vertical="center"/>
    </xf>
    <xf numFmtId="9" fontId="1" fillId="2" borderId="29" xfId="12" applyFont="1" applyFill="1" applyBorder="1" applyAlignment="1">
      <alignment horizontal="center" vertical="center"/>
    </xf>
    <xf numFmtId="186" fontId="3" fillId="2" borderId="30" xfId="0" applyNumberFormat="1" applyFont="1" applyFill="1" applyBorder="1" applyAlignment="1">
      <alignment horizontal="center" vertical="center"/>
    </xf>
    <xf numFmtId="4" fontId="3" fillId="0" borderId="0" xfId="0" applyNumberFormat="1" applyFont="1" applyFill="1" applyBorder="1" applyAlignment="1">
      <alignment horizontal="right"/>
    </xf>
    <xf numFmtId="186" fontId="3" fillId="0" borderId="0" xfId="0" applyNumberFormat="1" applyFont="1" applyFill="1" applyBorder="1"/>
    <xf numFmtId="186" fontId="3" fillId="0" borderId="0" xfId="0" applyNumberFormat="1" applyFont="1" applyBorder="1" applyAlignment="1">
      <alignment horizontal="right"/>
    </xf>
    <xf numFmtId="186" fontId="0" fillId="0" borderId="0" xfId="0" applyNumberFormat="1" applyFont="1" applyAlignment="1">
      <alignment vertical="center" wrapText="1"/>
    </xf>
    <xf numFmtId="186" fontId="0" fillId="0" borderId="0" xfId="0" applyNumberFormat="1" applyFont="1" applyAlignment="1">
      <alignment vertical="center"/>
    </xf>
    <xf numFmtId="186" fontId="2" fillId="0" borderId="0" xfId="0" applyNumberFormat="1" applyFont="1" applyBorder="1" applyAlignment="1">
      <alignment horizontal="center" vertical="center"/>
    </xf>
    <xf numFmtId="186" fontId="2" fillId="0" borderId="0" xfId="0" applyNumberFormat="1" applyFont="1" applyBorder="1" applyAlignment="1">
      <alignment horizontal="center"/>
    </xf>
    <xf numFmtId="186" fontId="1" fillId="2" borderId="31" xfId="0" applyNumberFormat="1" applyFont="1" applyFill="1" applyBorder="1" applyAlignment="1">
      <alignment horizontal="center" vertical="center" wrapText="1"/>
    </xf>
    <xf numFmtId="186" fontId="1" fillId="2" borderId="2" xfId="0" applyNumberFormat="1" applyFont="1" applyFill="1" applyBorder="1" applyAlignment="1">
      <alignment horizontal="center" vertical="center" wrapText="1"/>
    </xf>
    <xf numFmtId="186" fontId="1" fillId="2" borderId="32" xfId="0" applyNumberFormat="1" applyFont="1" applyFill="1" applyBorder="1" applyAlignment="1">
      <alignment horizontal="center" vertical="center" wrapText="1"/>
    </xf>
    <xf numFmtId="186" fontId="1" fillId="0" borderId="33" xfId="0" applyNumberFormat="1" applyFont="1" applyFill="1" applyBorder="1" applyAlignment="1">
      <alignment horizontal="left" vertical="center"/>
    </xf>
    <xf numFmtId="187" fontId="1" fillId="0" borderId="7" xfId="0" applyNumberFormat="1" applyFont="1" applyFill="1" applyBorder="1" applyAlignment="1">
      <alignment horizontal="center"/>
    </xf>
    <xf numFmtId="187" fontId="1" fillId="0" borderId="9" xfId="0" applyNumberFormat="1" applyFont="1" applyFill="1" applyBorder="1"/>
    <xf numFmtId="187" fontId="1" fillId="0" borderId="17" xfId="0" applyNumberFormat="1" applyFont="1" applyFill="1" applyBorder="1"/>
    <xf numFmtId="186" fontId="1" fillId="0" borderId="34" xfId="0" applyNumberFormat="1" applyFont="1" applyFill="1" applyBorder="1" applyAlignment="1">
      <alignment horizontal="left" vertical="center"/>
    </xf>
    <xf numFmtId="187" fontId="1" fillId="0" borderId="10" xfId="0" applyNumberFormat="1" applyFont="1" applyFill="1" applyBorder="1" applyAlignment="1">
      <alignment horizontal="right"/>
    </xf>
    <xf numFmtId="187" fontId="1" fillId="0" borderId="11" xfId="0" applyNumberFormat="1" applyFont="1" applyFill="1" applyBorder="1"/>
    <xf numFmtId="187" fontId="1" fillId="0" borderId="19" xfId="0" applyNumberFormat="1" applyFont="1" applyFill="1" applyBorder="1"/>
    <xf numFmtId="186" fontId="4" fillId="2" borderId="32" xfId="0" applyNumberFormat="1" applyFont="1" applyFill="1" applyBorder="1" applyAlignment="1">
      <alignment horizontal="center" vertical="center"/>
    </xf>
    <xf numFmtId="187" fontId="1" fillId="2" borderId="3" xfId="0" applyNumberFormat="1" applyFont="1" applyFill="1" applyBorder="1" applyAlignment="1">
      <alignment horizontal="center" vertical="center"/>
    </xf>
    <xf numFmtId="187" fontId="1" fillId="2" borderId="24" xfId="0" applyNumberFormat="1" applyFont="1" applyFill="1" applyBorder="1" applyAlignment="1">
      <alignment horizontal="center" vertical="center"/>
    </xf>
    <xf numFmtId="187" fontId="1" fillId="0" borderId="8" xfId="0" applyNumberFormat="1" applyFont="1" applyFill="1" applyBorder="1" applyAlignment="1">
      <alignment horizontal="center"/>
    </xf>
    <xf numFmtId="187" fontId="1" fillId="0" borderId="10" xfId="0" applyNumberFormat="1" applyFont="1" applyFill="1" applyBorder="1" applyAlignment="1">
      <alignment horizontal="left"/>
    </xf>
    <xf numFmtId="187" fontId="1" fillId="0" borderId="18" xfId="0" applyNumberFormat="1" applyFont="1" applyFill="1" applyBorder="1" applyAlignment="1">
      <alignment horizontal="center"/>
    </xf>
    <xf numFmtId="187" fontId="1" fillId="0" borderId="8" xfId="0" applyNumberFormat="1" applyFont="1" applyFill="1" applyBorder="1"/>
    <xf numFmtId="187" fontId="1" fillId="0" borderId="18" xfId="0" applyNumberFormat="1" applyFont="1" applyFill="1" applyBorder="1"/>
    <xf numFmtId="187" fontId="1" fillId="0" borderId="35" xfId="0" applyNumberFormat="1" applyFont="1" applyFill="1" applyBorder="1" applyAlignment="1">
      <alignment horizontal="right"/>
    </xf>
    <xf numFmtId="187" fontId="1" fillId="0" borderId="36" xfId="0" applyNumberFormat="1" applyFont="1" applyFill="1" applyBorder="1" applyAlignment="1">
      <alignment horizontal="right"/>
    </xf>
    <xf numFmtId="187" fontId="1" fillId="0" borderId="11" xfId="0" applyNumberFormat="1" applyFont="1" applyFill="1" applyBorder="1" applyAlignment="1">
      <alignment horizontal="right"/>
    </xf>
    <xf numFmtId="187" fontId="1" fillId="0" borderId="19" xfId="0" applyNumberFormat="1" applyFont="1" applyFill="1" applyBorder="1" applyAlignment="1">
      <alignment horizontal="right"/>
    </xf>
    <xf numFmtId="186" fontId="3" fillId="0" borderId="37" xfId="0" applyNumberFormat="1" applyFont="1" applyFill="1" applyBorder="1" applyAlignment="1">
      <alignment horizontal="center" vertical="center"/>
    </xf>
    <xf numFmtId="187" fontId="1" fillId="0" borderId="38" xfId="0" applyNumberFormat="1" applyFont="1" applyFill="1" applyBorder="1" applyAlignment="1">
      <alignment horizontal="center" vertical="center"/>
    </xf>
    <xf numFmtId="187" fontId="1" fillId="0" borderId="29" xfId="0" applyNumberFormat="1" applyFont="1" applyFill="1" applyBorder="1" applyAlignment="1">
      <alignment horizontal="center" vertical="center"/>
    </xf>
    <xf numFmtId="186" fontId="1" fillId="0" borderId="0" xfId="0" applyNumberFormat="1" applyFont="1" applyAlignment="1">
      <alignment horizontal="left"/>
    </xf>
    <xf numFmtId="186" fontId="1" fillId="0" borderId="0" xfId="0" applyNumberFormat="1" applyFont="1" applyAlignment="1">
      <alignment horizontal="left" vertical="center"/>
    </xf>
    <xf numFmtId="186" fontId="1" fillId="0" borderId="0" xfId="0" applyNumberFormat="1" applyFont="1" applyAlignment="1">
      <alignment vertical="center"/>
    </xf>
    <xf numFmtId="187" fontId="1" fillId="0" borderId="7" xfId="0" applyNumberFormat="1" applyFont="1" applyFill="1" applyBorder="1"/>
    <xf numFmtId="187" fontId="1" fillId="0" borderId="10" xfId="0" applyNumberFormat="1" applyFont="1" applyFill="1" applyBorder="1"/>
    <xf numFmtId="186" fontId="1" fillId="0" borderId="9" xfId="0" applyNumberFormat="1" applyFont="1" applyFill="1" applyBorder="1"/>
    <xf numFmtId="186" fontId="1" fillId="0" borderId="26" xfId="0" applyNumberFormat="1" applyFont="1" applyFill="1" applyBorder="1"/>
    <xf numFmtId="186" fontId="1" fillId="0" borderId="11" xfId="0" applyNumberFormat="1" applyFont="1" applyFill="1" applyBorder="1"/>
    <xf numFmtId="186" fontId="1" fillId="0" borderId="27" xfId="0" applyNumberFormat="1" applyFont="1" applyFill="1" applyBorder="1"/>
    <xf numFmtId="187" fontId="1" fillId="2" borderId="39" xfId="0" applyNumberFormat="1" applyFont="1" applyFill="1" applyBorder="1" applyAlignment="1">
      <alignment horizontal="center"/>
    </xf>
    <xf numFmtId="186" fontId="3" fillId="2" borderId="24" xfId="0" applyNumberFormat="1" applyFont="1" applyFill="1" applyBorder="1"/>
    <xf numFmtId="186" fontId="3" fillId="2" borderId="25" xfId="0" applyNumberFormat="1" applyFont="1" applyFill="1" applyBorder="1"/>
    <xf numFmtId="187" fontId="1" fillId="2" borderId="40" xfId="0" applyNumberFormat="1" applyFont="1" applyFill="1" applyBorder="1" applyAlignment="1">
      <alignment horizontal="center"/>
    </xf>
    <xf numFmtId="186" fontId="3" fillId="2" borderId="24" xfId="0" applyNumberFormat="1" applyFont="1" applyFill="1" applyBorder="1" applyAlignment="1">
      <alignment horizontal="right"/>
    </xf>
    <xf numFmtId="186" fontId="1" fillId="2" borderId="25" xfId="0" applyNumberFormat="1" applyFont="1" applyFill="1" applyBorder="1"/>
    <xf numFmtId="187" fontId="1" fillId="0" borderId="41" xfId="0" applyNumberFormat="1" applyFont="1" applyFill="1" applyBorder="1" applyAlignment="1">
      <alignment horizontal="center"/>
    </xf>
    <xf numFmtId="186" fontId="3" fillId="0" borderId="29" xfId="0" applyNumberFormat="1" applyFont="1" applyFill="1" applyBorder="1" applyAlignment="1">
      <alignment horizontal="right"/>
    </xf>
    <xf numFmtId="186" fontId="1" fillId="0" borderId="42" xfId="0" applyNumberFormat="1" applyFont="1" applyFill="1" applyBorder="1"/>
    <xf numFmtId="186" fontId="2" fillId="0" borderId="0" xfId="0" applyNumberFormat="1" applyFont="1"/>
    <xf numFmtId="186" fontId="2" fillId="0" borderId="0" xfId="0" applyNumberFormat="1" applyFont="1" applyAlignment="1">
      <alignment horizontal="center"/>
    </xf>
    <xf numFmtId="186" fontId="1" fillId="2" borderId="43" xfId="0" applyNumberFormat="1" applyFont="1" applyFill="1" applyBorder="1" applyAlignment="1">
      <alignment horizontal="center" vertical="center"/>
    </xf>
    <xf numFmtId="186" fontId="1" fillId="2" borderId="21" xfId="0" applyNumberFormat="1" applyFont="1" applyFill="1" applyBorder="1" applyAlignment="1">
      <alignment horizontal="center" vertical="center"/>
    </xf>
    <xf numFmtId="186" fontId="1" fillId="0" borderId="33" xfId="0" applyNumberFormat="1" applyFont="1" applyFill="1" applyBorder="1"/>
    <xf numFmtId="186" fontId="1" fillId="0" borderId="34" xfId="0" applyNumberFormat="1" applyFont="1" applyFill="1" applyBorder="1"/>
    <xf numFmtId="186" fontId="1" fillId="0" borderId="44" xfId="0" applyNumberFormat="1" applyFont="1" applyFill="1" applyBorder="1"/>
    <xf numFmtId="186" fontId="1" fillId="0" borderId="45" xfId="0" applyNumberFormat="1" applyFont="1" applyFill="1" applyBorder="1"/>
    <xf numFmtId="187" fontId="1" fillId="0" borderId="45" xfId="0" applyNumberFormat="1" applyFont="1" applyFill="1" applyBorder="1"/>
    <xf numFmtId="187" fontId="1" fillId="0" borderId="46" xfId="0" applyNumberFormat="1" applyFont="1" applyFill="1" applyBorder="1"/>
    <xf numFmtId="186" fontId="1" fillId="2" borderId="32" xfId="0" applyNumberFormat="1" applyFont="1" applyFill="1" applyBorder="1" applyAlignment="1">
      <alignment horizontal="center"/>
    </xf>
    <xf numFmtId="186" fontId="1" fillId="2" borderId="24" xfId="0" applyNumberFormat="1" applyFont="1" applyFill="1" applyBorder="1" applyAlignment="1">
      <alignment horizontal="center" vertical="center"/>
    </xf>
    <xf numFmtId="187" fontId="1" fillId="2" borderId="39" xfId="0" applyNumberFormat="1" applyFont="1" applyFill="1" applyBorder="1" applyAlignment="1">
      <alignment horizontal="center" vertical="center"/>
    </xf>
    <xf numFmtId="187" fontId="1" fillId="2" borderId="47" xfId="0" applyNumberFormat="1" applyFont="1" applyFill="1" applyBorder="1" applyAlignment="1">
      <alignment horizontal="center" vertical="center"/>
    </xf>
    <xf numFmtId="187" fontId="1" fillId="2" borderId="23" xfId="0" applyNumberFormat="1" applyFont="1" applyFill="1" applyBorder="1" applyAlignment="1">
      <alignment horizontal="center" vertical="center"/>
    </xf>
    <xf numFmtId="186" fontId="1" fillId="2" borderId="32" xfId="0" applyNumberFormat="1" applyFont="1" applyFill="1" applyBorder="1" applyAlignment="1">
      <alignment horizontal="center" vertical="center"/>
    </xf>
    <xf numFmtId="186" fontId="1" fillId="0" borderId="29" xfId="0" applyNumberFormat="1" applyFont="1" applyFill="1" applyBorder="1" applyAlignment="1">
      <alignment horizontal="center" vertical="center"/>
    </xf>
    <xf numFmtId="187" fontId="1" fillId="0" borderId="48" xfId="0" applyNumberFormat="1" applyFont="1" applyFill="1" applyBorder="1" applyAlignment="1">
      <alignment horizontal="center" vertical="center"/>
    </xf>
    <xf numFmtId="186" fontId="5" fillId="0" borderId="0" xfId="0" applyNumberFormat="1" applyFont="1"/>
    <xf numFmtId="187" fontId="1" fillId="0" borderId="49" xfId="0" applyNumberFormat="1" applyFont="1" applyFill="1" applyBorder="1"/>
    <xf numFmtId="187" fontId="1" fillId="2" borderId="23" xfId="0" applyNumberFormat="1" applyFont="1" applyFill="1" applyBorder="1" applyAlignment="1">
      <alignment horizontal="center"/>
    </xf>
    <xf numFmtId="186" fontId="1" fillId="2" borderId="50" xfId="0" applyNumberFormat="1" applyFont="1" applyFill="1" applyBorder="1" applyAlignment="1">
      <alignment horizontal="center" vertical="center"/>
    </xf>
    <xf numFmtId="186" fontId="1" fillId="2" borderId="51" xfId="0" applyNumberFormat="1" applyFont="1" applyFill="1" applyBorder="1" applyAlignment="1">
      <alignment horizontal="center" vertical="center"/>
    </xf>
    <xf numFmtId="186" fontId="1" fillId="2" borderId="52" xfId="0" applyNumberFormat="1" applyFont="1" applyFill="1" applyBorder="1" applyAlignment="1">
      <alignment horizontal="center" vertical="center"/>
    </xf>
    <xf numFmtId="186" fontId="1" fillId="0" borderId="53" xfId="0" applyNumberFormat="1" applyFont="1" applyFill="1" applyBorder="1"/>
    <xf numFmtId="186" fontId="1" fillId="2" borderId="25" xfId="0" applyNumberFormat="1" applyFont="1" applyFill="1" applyBorder="1" applyAlignment="1">
      <alignment vertical="center"/>
    </xf>
    <xf numFmtId="187" fontId="1" fillId="0" borderId="13" xfId="0" applyNumberFormat="1" applyFont="1" applyFill="1" applyBorder="1" applyAlignment="1">
      <alignment horizontal="center"/>
    </xf>
    <xf numFmtId="186" fontId="1" fillId="0" borderId="42" xfId="0" applyNumberFormat="1" applyFont="1" applyFill="1" applyBorder="1" applyAlignment="1">
      <alignment vertical="center"/>
    </xf>
    <xf numFmtId="0" fontId="0" fillId="0" borderId="0" xfId="0" applyFill="1"/>
    <xf numFmtId="0" fontId="0" fillId="0" borderId="0" xfId="0" applyFill="1" applyAlignment="1">
      <alignment vertical="center"/>
    </xf>
    <xf numFmtId="0" fontId="0" fillId="0" borderId="0" xfId="0" applyFill="1" applyAlignment="1">
      <alignment horizontal="center" vertical="center"/>
    </xf>
    <xf numFmtId="186" fontId="2" fillId="0" borderId="0" xfId="0" applyNumberFormat="1" applyFont="1" applyFill="1" applyAlignment="1">
      <alignment horizontal="center" vertical="center"/>
    </xf>
    <xf numFmtId="186" fontId="6" fillId="0" borderId="0" xfId="0" applyNumberFormat="1" applyFont="1" applyFill="1" applyAlignment="1">
      <alignment horizontal="center"/>
    </xf>
    <xf numFmtId="186" fontId="1" fillId="2" borderId="31" xfId="0" applyNumberFormat="1" applyFont="1" applyFill="1" applyBorder="1" applyAlignment="1">
      <alignment horizontal="center" vertical="center"/>
    </xf>
    <xf numFmtId="186" fontId="3" fillId="0" borderId="33" xfId="0" applyNumberFormat="1" applyFont="1" applyFill="1" applyBorder="1" applyAlignment="1">
      <alignment horizontal="left" vertical="center"/>
    </xf>
    <xf numFmtId="187" fontId="7" fillId="0" borderId="9" xfId="0" applyNumberFormat="1" applyFont="1" applyFill="1" applyBorder="1"/>
    <xf numFmtId="187" fontId="7" fillId="0" borderId="7" xfId="0" applyNumberFormat="1" applyFont="1" applyFill="1" applyBorder="1"/>
    <xf numFmtId="187" fontId="1" fillId="0" borderId="9" xfId="0" applyNumberFormat="1" applyFont="1" applyFill="1" applyBorder="1" applyAlignment="1">
      <alignment horizontal="center"/>
    </xf>
    <xf numFmtId="187" fontId="1" fillId="0" borderId="17" xfId="0" applyNumberFormat="1" applyFont="1" applyFill="1" applyBorder="1" applyAlignment="1">
      <alignment horizontal="center"/>
    </xf>
    <xf numFmtId="187" fontId="7" fillId="0" borderId="11" xfId="0" applyNumberFormat="1" applyFont="1" applyFill="1" applyBorder="1"/>
    <xf numFmtId="187" fontId="7" fillId="0" borderId="10" xfId="0" applyNumberFormat="1" applyFont="1" applyFill="1" applyBorder="1"/>
    <xf numFmtId="187" fontId="1" fillId="0" borderId="11" xfId="0" applyNumberFormat="1" applyFont="1" applyFill="1" applyBorder="1" applyAlignment="1">
      <alignment horizontal="center"/>
    </xf>
    <xf numFmtId="187" fontId="1" fillId="0" borderId="19" xfId="0" applyNumberFormat="1" applyFont="1" applyFill="1" applyBorder="1" applyAlignment="1">
      <alignment horizontal="center"/>
    </xf>
    <xf numFmtId="186" fontId="1" fillId="0" borderId="34" xfId="0" applyNumberFormat="1" applyFont="1" applyFill="1" applyBorder="1" applyAlignment="1">
      <alignment horizontal="left" vertical="center" indent="1"/>
    </xf>
    <xf numFmtId="186" fontId="1" fillId="0" borderId="44" xfId="0" applyNumberFormat="1" applyFont="1" applyFill="1" applyBorder="1" applyAlignment="1">
      <alignment horizontal="left" vertical="center" indent="1"/>
    </xf>
    <xf numFmtId="187" fontId="7" fillId="0" borderId="45" xfId="0" applyNumberFormat="1" applyFont="1" applyFill="1" applyBorder="1"/>
    <xf numFmtId="187" fontId="7" fillId="0" borderId="46" xfId="0" applyNumberFormat="1" applyFont="1" applyFill="1" applyBorder="1"/>
    <xf numFmtId="187" fontId="1" fillId="0" borderId="45" xfId="0" applyNumberFormat="1" applyFont="1" applyFill="1" applyBorder="1" applyAlignment="1">
      <alignment horizontal="center"/>
    </xf>
    <xf numFmtId="187" fontId="1" fillId="0" borderId="49" xfId="0" applyNumberFormat="1" applyFont="1" applyFill="1" applyBorder="1" applyAlignment="1">
      <alignment horizontal="center"/>
    </xf>
    <xf numFmtId="187" fontId="1" fillId="2" borderId="54" xfId="0" applyNumberFormat="1" applyFont="1" applyFill="1" applyBorder="1" applyAlignment="1">
      <alignment horizontal="center" vertical="center"/>
    </xf>
    <xf numFmtId="187" fontId="1" fillId="2" borderId="55" xfId="0" applyNumberFormat="1" applyFont="1" applyFill="1" applyBorder="1" applyAlignment="1">
      <alignment horizontal="center" vertical="center"/>
    </xf>
    <xf numFmtId="187" fontId="7" fillId="0" borderId="8" xfId="0" applyNumberFormat="1" applyFont="1" applyFill="1" applyBorder="1"/>
    <xf numFmtId="187" fontId="7" fillId="0" borderId="17" xfId="0" applyNumberFormat="1" applyFont="1" applyFill="1" applyBorder="1"/>
    <xf numFmtId="187" fontId="7" fillId="0" borderId="35" xfId="0" applyNumberFormat="1" applyFont="1" applyFill="1" applyBorder="1"/>
    <xf numFmtId="187" fontId="7" fillId="0" borderId="19" xfId="0" applyNumberFormat="1" applyFont="1" applyFill="1" applyBorder="1"/>
    <xf numFmtId="187" fontId="7" fillId="0" borderId="56" xfId="0" applyNumberFormat="1" applyFont="1" applyFill="1" applyBorder="1"/>
    <xf numFmtId="187" fontId="7" fillId="0" borderId="49" xfId="0" applyNumberFormat="1" applyFont="1" applyFill="1" applyBorder="1"/>
    <xf numFmtId="186" fontId="1" fillId="0" borderId="0" xfId="0" applyNumberFormat="1" applyFont="1" applyFill="1" applyAlignment="1">
      <alignment horizontal="left"/>
    </xf>
    <xf numFmtId="186" fontId="7" fillId="0" borderId="0" xfId="0" applyNumberFormat="1" applyFont="1" applyFill="1"/>
    <xf numFmtId="186" fontId="1" fillId="0" borderId="0" xfId="0" applyNumberFormat="1" applyFont="1" applyFill="1" applyAlignment="1">
      <alignment horizontal="left" vertical="center"/>
    </xf>
    <xf numFmtId="186" fontId="1" fillId="0" borderId="0" xfId="0" applyNumberFormat="1" applyFont="1" applyFill="1" applyBorder="1" applyAlignment="1">
      <alignment horizontal="left" vertical="center"/>
    </xf>
    <xf numFmtId="187" fontId="1" fillId="0" borderId="45" xfId="0" applyNumberFormat="1" applyFont="1" applyFill="1" applyBorder="1" applyAlignment="1">
      <alignment horizontal="center" vertical="center"/>
    </xf>
    <xf numFmtId="187" fontId="1" fillId="0" borderId="46" xfId="0" applyNumberFormat="1" applyFont="1" applyFill="1" applyBorder="1" applyAlignment="1">
      <alignment horizontal="center" vertical="center"/>
    </xf>
    <xf numFmtId="187" fontId="1" fillId="2" borderId="57" xfId="0" applyNumberFormat="1" applyFont="1" applyFill="1" applyBorder="1" applyAlignment="1">
      <alignment horizontal="center" vertical="center"/>
    </xf>
    <xf numFmtId="187" fontId="1" fillId="2" borderId="52" xfId="0" applyNumberFormat="1" applyFont="1" applyFill="1" applyBorder="1" applyAlignment="1">
      <alignment horizontal="center" vertical="center"/>
    </xf>
    <xf numFmtId="187" fontId="7" fillId="0" borderId="18" xfId="0" applyNumberFormat="1" applyFont="1" applyFill="1" applyBorder="1"/>
    <xf numFmtId="187" fontId="7" fillId="0" borderId="36" xfId="0" applyNumberFormat="1" applyFont="1" applyFill="1" applyBorder="1"/>
    <xf numFmtId="187" fontId="7" fillId="0" borderId="58" xfId="0" applyNumberFormat="1" applyFont="1" applyFill="1" applyBorder="1"/>
    <xf numFmtId="187" fontId="1" fillId="2" borderId="59" xfId="0" applyNumberFormat="1" applyFont="1" applyFill="1" applyBorder="1" applyAlignment="1">
      <alignment horizontal="center" vertical="center"/>
    </xf>
    <xf numFmtId="187" fontId="1" fillId="0" borderId="14" xfId="0" applyNumberFormat="1" applyFont="1" applyFill="1" applyBorder="1" applyAlignment="1">
      <alignment horizontal="center" vertical="center"/>
    </xf>
    <xf numFmtId="187" fontId="1" fillId="0" borderId="13" xfId="0" applyNumberFormat="1" applyFont="1" applyFill="1" applyBorder="1" applyAlignment="1">
      <alignment horizontal="center" vertical="center"/>
    </xf>
    <xf numFmtId="186" fontId="1" fillId="2" borderId="20" xfId="0" applyNumberFormat="1" applyFont="1" applyFill="1" applyBorder="1" applyAlignment="1">
      <alignment horizontal="center" vertical="center"/>
    </xf>
    <xf numFmtId="186" fontId="1" fillId="2" borderId="23" xfId="0" applyNumberFormat="1" applyFont="1" applyFill="1" applyBorder="1" applyAlignment="1">
      <alignment horizontal="center" vertical="center"/>
    </xf>
    <xf numFmtId="186" fontId="7" fillId="0" borderId="26" xfId="0" applyNumberFormat="1" applyFont="1" applyFill="1" applyBorder="1"/>
    <xf numFmtId="186" fontId="7" fillId="0" borderId="27" xfId="0" applyNumberFormat="1" applyFont="1" applyFill="1" applyBorder="1"/>
    <xf numFmtId="186" fontId="7" fillId="0" borderId="53" xfId="0" applyNumberFormat="1" applyFont="1" applyFill="1" applyBorder="1"/>
    <xf numFmtId="186" fontId="7" fillId="2" borderId="25" xfId="0" applyNumberFormat="1" applyFont="1" applyFill="1" applyBorder="1" applyAlignment="1">
      <alignment vertical="center"/>
    </xf>
    <xf numFmtId="186" fontId="7" fillId="2" borderId="25" xfId="0" applyNumberFormat="1" applyFont="1" applyFill="1" applyBorder="1"/>
    <xf numFmtId="186" fontId="7" fillId="0" borderId="42" xfId="0" applyNumberFormat="1" applyFont="1" applyFill="1" applyBorder="1" applyAlignment="1">
      <alignment horizontal="center" vertical="center"/>
    </xf>
    <xf numFmtId="186" fontId="0" fillId="0" borderId="0" xfId="0" applyNumberFormat="1" applyFont="1" applyFill="1"/>
    <xf numFmtId="186" fontId="8" fillId="0" borderId="0" xfId="0" applyNumberFormat="1" applyFont="1" applyFill="1" applyAlignment="1">
      <alignment horizontal="right"/>
    </xf>
    <xf numFmtId="0" fontId="1" fillId="0" borderId="0" xfId="0" applyFont="1" applyFill="1" applyAlignment="1">
      <alignment vertical="center"/>
    </xf>
    <xf numFmtId="0" fontId="1" fillId="0" borderId="0" xfId="0" applyFont="1" applyFill="1" applyAlignment="1">
      <alignment horizontal="center" vertical="center"/>
    </xf>
    <xf numFmtId="0" fontId="2" fillId="0" borderId="0" xfId="0" applyFont="1" applyAlignment="1">
      <alignment horizontal="center" vertical="center"/>
    </xf>
    <xf numFmtId="186" fontId="1" fillId="2" borderId="43" xfId="0" applyNumberFormat="1" applyFont="1" applyFill="1" applyBorder="1" applyAlignment="1">
      <alignment horizontal="center" vertical="center" wrapText="1"/>
    </xf>
    <xf numFmtId="186" fontId="1" fillId="0" borderId="33" xfId="0" applyNumberFormat="1" applyFont="1" applyFill="1" applyBorder="1" applyAlignment="1" applyProtection="1">
      <alignment horizontal="left"/>
      <protection locked="0"/>
    </xf>
    <xf numFmtId="186" fontId="1" fillId="0" borderId="9" xfId="0" applyNumberFormat="1" applyFont="1" applyFill="1" applyBorder="1" applyProtection="1">
      <protection locked="0"/>
    </xf>
    <xf numFmtId="9" fontId="1" fillId="0" borderId="7" xfId="0" applyNumberFormat="1" applyFont="1" applyFill="1" applyBorder="1" applyAlignment="1" applyProtection="1">
      <alignment horizontal="center"/>
      <protection locked="0"/>
    </xf>
    <xf numFmtId="188" fontId="1" fillId="0" borderId="8" xfId="0" applyNumberFormat="1" applyFont="1" applyFill="1" applyBorder="1" applyAlignment="1">
      <alignment horizontal="center" vertical="center"/>
    </xf>
    <xf numFmtId="188" fontId="1" fillId="0" borderId="9" xfId="0" applyNumberFormat="1" applyFont="1" applyFill="1" applyBorder="1" applyAlignment="1" applyProtection="1">
      <alignment horizontal="center" vertical="center"/>
      <protection locked="0"/>
    </xf>
    <xf numFmtId="188" fontId="1" fillId="0" borderId="17" xfId="0" applyNumberFormat="1" applyFont="1" applyFill="1" applyBorder="1" applyAlignment="1" applyProtection="1">
      <alignment horizontal="center" vertical="center"/>
      <protection locked="0"/>
    </xf>
    <xf numFmtId="188" fontId="1" fillId="0" borderId="18" xfId="0" applyNumberFormat="1" applyFont="1" applyFill="1" applyBorder="1" applyAlignment="1">
      <alignment horizontal="center" vertical="center"/>
    </xf>
    <xf numFmtId="186" fontId="1" fillId="0" borderId="34" xfId="0" applyNumberFormat="1" applyFont="1" applyFill="1" applyBorder="1" applyAlignment="1" applyProtection="1">
      <alignment horizontal="left"/>
      <protection locked="0"/>
    </xf>
    <xf numFmtId="186" fontId="1" fillId="0" borderId="11" xfId="0" applyNumberFormat="1" applyFont="1" applyFill="1" applyBorder="1" applyAlignment="1" applyProtection="1">
      <alignment horizontal="left"/>
      <protection locked="0"/>
    </xf>
    <xf numFmtId="9" fontId="1" fillId="0" borderId="10" xfId="0" applyNumberFormat="1" applyFont="1" applyFill="1" applyBorder="1" applyAlignment="1" applyProtection="1">
      <alignment horizontal="center"/>
      <protection locked="0"/>
    </xf>
    <xf numFmtId="188" fontId="1" fillId="0" borderId="11" xfId="0" applyNumberFormat="1" applyFont="1" applyFill="1" applyBorder="1" applyAlignment="1" applyProtection="1">
      <alignment horizontal="center" vertical="center"/>
      <protection locked="0"/>
    </xf>
    <xf numFmtId="188" fontId="1" fillId="0" borderId="19" xfId="0" applyNumberFormat="1" applyFont="1" applyFill="1" applyBorder="1" applyAlignment="1" applyProtection="1">
      <alignment horizontal="center" vertical="center"/>
      <protection locked="0"/>
    </xf>
    <xf numFmtId="186" fontId="1" fillId="0" borderId="11" xfId="0" applyNumberFormat="1" applyFont="1" applyFill="1" applyBorder="1" applyProtection="1">
      <protection locked="0"/>
    </xf>
    <xf numFmtId="185" fontId="1" fillId="0" borderId="10" xfId="0" applyNumberFormat="1" applyFont="1" applyFill="1" applyBorder="1" applyAlignment="1" applyProtection="1">
      <alignment horizontal="center"/>
      <protection locked="0"/>
    </xf>
    <xf numFmtId="186" fontId="3" fillId="2" borderId="60" xfId="0" applyNumberFormat="1" applyFont="1" applyFill="1" applyBorder="1" applyAlignment="1">
      <alignment horizontal="center" vertical="center"/>
    </xf>
    <xf numFmtId="186" fontId="3" fillId="2" borderId="61" xfId="0" applyNumberFormat="1" applyFont="1" applyFill="1" applyBorder="1" applyAlignment="1">
      <alignment horizontal="center" vertical="center"/>
    </xf>
    <xf numFmtId="186" fontId="3" fillId="2" borderId="62" xfId="0" applyNumberFormat="1" applyFont="1" applyFill="1" applyBorder="1" applyAlignment="1">
      <alignment horizontal="center" vertical="center"/>
    </xf>
    <xf numFmtId="188" fontId="1" fillId="2" borderId="13" xfId="0" applyNumberFormat="1" applyFont="1" applyFill="1" applyBorder="1" applyAlignment="1">
      <alignment horizontal="center" vertical="center"/>
    </xf>
    <xf numFmtId="43" fontId="3" fillId="2" borderId="28" xfId="9" applyFont="1" applyFill="1" applyBorder="1" applyAlignment="1">
      <alignment horizontal="center" vertical="center"/>
    </xf>
    <xf numFmtId="43" fontId="3" fillId="2" borderId="63" xfId="9" applyFont="1" applyFill="1" applyBorder="1" applyAlignment="1">
      <alignment horizontal="center" vertical="center"/>
    </xf>
    <xf numFmtId="188" fontId="1" fillId="2" borderId="14" xfId="0" applyNumberFormat="1" applyFont="1" applyFill="1" applyBorder="1" applyAlignment="1">
      <alignment horizontal="center" vertical="center"/>
    </xf>
    <xf numFmtId="0" fontId="1" fillId="0" borderId="0" xfId="0" applyFont="1"/>
    <xf numFmtId="188" fontId="1" fillId="0" borderId="7" xfId="0" applyNumberFormat="1" applyFont="1" applyFill="1" applyBorder="1" applyAlignment="1" applyProtection="1">
      <alignment horizontal="center" vertical="center"/>
      <protection locked="0"/>
    </xf>
    <xf numFmtId="188" fontId="1" fillId="0" borderId="10" xfId="0" applyNumberFormat="1" applyFont="1" applyFill="1" applyBorder="1" applyAlignment="1" applyProtection="1">
      <alignment horizontal="center" vertical="center"/>
      <protection locked="0"/>
    </xf>
    <xf numFmtId="43" fontId="3" fillId="2" borderId="64" xfId="9" applyFont="1" applyFill="1" applyBorder="1" applyAlignment="1">
      <alignment horizontal="center" vertical="center"/>
    </xf>
    <xf numFmtId="0" fontId="2" fillId="0" borderId="0" xfId="0" applyFont="1" applyAlignment="1">
      <alignment vertical="center"/>
    </xf>
    <xf numFmtId="43" fontId="1" fillId="2" borderId="4" xfId="9" applyFont="1" applyFill="1" applyBorder="1" applyAlignment="1">
      <alignment horizontal="center" vertical="center" wrapText="1"/>
    </xf>
    <xf numFmtId="188" fontId="1" fillId="0" borderId="9" xfId="0" applyNumberFormat="1" applyFont="1" applyFill="1" applyBorder="1" applyProtection="1">
      <protection locked="0"/>
    </xf>
    <xf numFmtId="188" fontId="1" fillId="0" borderId="7" xfId="0" applyNumberFormat="1" applyFont="1" applyFill="1" applyBorder="1" applyProtection="1">
      <protection locked="0"/>
    </xf>
    <xf numFmtId="43" fontId="1" fillId="0" borderId="8" xfId="9" applyFont="1" applyFill="1" applyBorder="1" applyAlignment="1">
      <alignment horizontal="center" vertical="center"/>
    </xf>
    <xf numFmtId="188" fontId="1" fillId="0" borderId="11" xfId="0" applyNumberFormat="1" applyFont="1" applyFill="1" applyBorder="1" applyProtection="1">
      <protection locked="0"/>
    </xf>
    <xf numFmtId="188" fontId="1" fillId="0" borderId="10" xfId="0" applyNumberFormat="1" applyFont="1" applyFill="1" applyBorder="1" applyProtection="1">
      <protection locked="0"/>
    </xf>
    <xf numFmtId="0" fontId="0" fillId="0" borderId="0" xfId="0" applyAlignment="1">
      <alignment horizontal="center" vertical="center"/>
    </xf>
    <xf numFmtId="0" fontId="1" fillId="0" borderId="0" xfId="0" applyFont="1" applyAlignment="1">
      <alignment horizontal="center" vertical="center"/>
    </xf>
    <xf numFmtId="186" fontId="1" fillId="2" borderId="65" xfId="0" applyNumberFormat="1" applyFont="1" applyFill="1" applyBorder="1" applyAlignment="1" applyProtection="1">
      <alignment horizontal="center" vertical="center" wrapText="1"/>
    </xf>
    <xf numFmtId="186" fontId="1" fillId="2" borderId="2" xfId="0" applyNumberFormat="1" applyFont="1" applyFill="1" applyBorder="1" applyAlignment="1" applyProtection="1">
      <alignment horizontal="center" vertical="center"/>
    </xf>
    <xf numFmtId="186" fontId="1" fillId="2" borderId="66" xfId="0" applyNumberFormat="1" applyFont="1" applyFill="1" applyBorder="1" applyAlignment="1" applyProtection="1">
      <alignment horizontal="center" vertical="center" wrapText="1"/>
    </xf>
    <xf numFmtId="186" fontId="3" fillId="0" borderId="67" xfId="0" applyNumberFormat="1" applyFont="1" applyFill="1" applyBorder="1" applyAlignment="1" applyProtection="1">
      <alignment horizontal="left" vertical="center"/>
    </xf>
    <xf numFmtId="187" fontId="1" fillId="0" borderId="8" xfId="0" applyNumberFormat="1" applyFont="1" applyFill="1" applyBorder="1" applyAlignment="1" applyProtection="1">
      <alignment horizontal="center" vertical="center"/>
    </xf>
    <xf numFmtId="187" fontId="1" fillId="0" borderId="9" xfId="0" applyNumberFormat="1" applyFont="1" applyFill="1" applyBorder="1" applyAlignment="1" applyProtection="1">
      <alignment horizontal="right"/>
    </xf>
    <xf numFmtId="187" fontId="1" fillId="0" borderId="7" xfId="0" applyNumberFormat="1" applyFont="1" applyFill="1" applyBorder="1" applyAlignment="1" applyProtection="1">
      <alignment horizontal="right"/>
    </xf>
    <xf numFmtId="187" fontId="1" fillId="0" borderId="9" xfId="0" applyNumberFormat="1" applyFont="1" applyFill="1" applyBorder="1" applyAlignment="1" applyProtection="1">
      <alignment horizontal="center" vertical="center"/>
    </xf>
    <xf numFmtId="0" fontId="9" fillId="0" borderId="68" xfId="0" applyFont="1" applyFill="1" applyBorder="1" applyAlignment="1" applyProtection="1">
      <alignment horizontal="left" vertical="center" indent="1"/>
      <protection locked="0" hidden="1"/>
    </xf>
    <xf numFmtId="187" fontId="1" fillId="0" borderId="11" xfId="9" applyNumberFormat="1" applyFont="1" applyFill="1" applyBorder="1" applyAlignment="1" applyProtection="1">
      <alignment horizontal="center" vertical="center"/>
    </xf>
    <xf numFmtId="187" fontId="1" fillId="0" borderId="10" xfId="9" applyNumberFormat="1" applyFont="1" applyFill="1" applyBorder="1" applyAlignment="1" applyProtection="1">
      <alignment horizontal="center" vertical="center"/>
    </xf>
    <xf numFmtId="187" fontId="1" fillId="0" borderId="35" xfId="9" applyNumberFormat="1" applyFont="1" applyFill="1" applyBorder="1" applyAlignment="1">
      <alignment horizontal="center" vertical="center"/>
    </xf>
    <xf numFmtId="187" fontId="1" fillId="0" borderId="11" xfId="9" applyNumberFormat="1" applyFont="1" applyFill="1" applyBorder="1" applyAlignment="1">
      <alignment horizontal="center" vertical="center"/>
    </xf>
    <xf numFmtId="187" fontId="1" fillId="0" borderId="10" xfId="9" applyNumberFormat="1" applyFont="1" applyFill="1" applyBorder="1" applyAlignment="1">
      <alignment horizontal="center" vertical="center"/>
    </xf>
    <xf numFmtId="0" fontId="9" fillId="0" borderId="68" xfId="0" applyFont="1" applyFill="1" applyBorder="1" applyAlignment="1" applyProtection="1">
      <alignment horizontal="left" vertical="center" wrapText="1" indent="1"/>
      <protection locked="0" hidden="1"/>
    </xf>
    <xf numFmtId="0" fontId="9" fillId="2" borderId="69" xfId="0" applyFont="1" applyFill="1" applyBorder="1" applyAlignment="1" applyProtection="1">
      <alignment horizontal="center" vertical="center"/>
      <protection locked="0" hidden="1"/>
    </xf>
    <xf numFmtId="187" fontId="1" fillId="2" borderId="56" xfId="9" applyNumberFormat="1" applyFont="1" applyFill="1" applyBorder="1" applyAlignment="1">
      <alignment horizontal="center" vertical="center"/>
    </xf>
    <xf numFmtId="187" fontId="1" fillId="2" borderId="45" xfId="9" applyNumberFormat="1" applyFont="1" applyFill="1" applyBorder="1" applyAlignment="1" applyProtection="1">
      <alignment horizontal="center" vertical="center"/>
    </xf>
    <xf numFmtId="187" fontId="1" fillId="2" borderId="49" xfId="9" applyNumberFormat="1" applyFont="1" applyFill="1" applyBorder="1" applyAlignment="1" applyProtection="1">
      <alignment horizontal="center" vertical="center"/>
    </xf>
    <xf numFmtId="187" fontId="1" fillId="2" borderId="58" xfId="9" applyNumberFormat="1" applyFont="1" applyFill="1" applyBorder="1" applyAlignment="1" applyProtection="1">
      <alignment horizontal="center" vertical="center"/>
    </xf>
    <xf numFmtId="0" fontId="10" fillId="0" borderId="70" xfId="0" applyFont="1" applyFill="1" applyBorder="1" applyAlignment="1" applyProtection="1">
      <alignment horizontal="left" vertical="center"/>
      <protection locked="0" hidden="1"/>
    </xf>
    <xf numFmtId="187" fontId="1" fillId="0" borderId="41" xfId="9" applyNumberFormat="1" applyFont="1" applyFill="1" applyBorder="1" applyAlignment="1">
      <alignment horizontal="center" vertical="center"/>
    </xf>
    <xf numFmtId="187" fontId="1" fillId="0" borderId="71" xfId="9" applyNumberFormat="1" applyFont="1" applyFill="1" applyBorder="1" applyAlignment="1" applyProtection="1">
      <alignment horizontal="right"/>
    </xf>
    <xf numFmtId="187" fontId="1" fillId="0" borderId="72" xfId="9" applyNumberFormat="1" applyFont="1" applyFill="1" applyBorder="1" applyAlignment="1" applyProtection="1">
      <alignment horizontal="right"/>
    </xf>
    <xf numFmtId="187" fontId="1" fillId="0" borderId="71" xfId="9" applyNumberFormat="1" applyFont="1" applyFill="1" applyBorder="1" applyAlignment="1" applyProtection="1">
      <alignment horizontal="center" vertical="center"/>
    </xf>
    <xf numFmtId="187" fontId="1" fillId="0" borderId="11" xfId="9" applyNumberFormat="1" applyFont="1" applyFill="1" applyBorder="1" applyAlignment="1" applyProtection="1">
      <alignment horizontal="right"/>
    </xf>
    <xf numFmtId="187" fontId="1" fillId="0" borderId="10" xfId="9" applyNumberFormat="1" applyFont="1" applyFill="1" applyBorder="1" applyAlignment="1" applyProtection="1">
      <alignment horizontal="right"/>
    </xf>
    <xf numFmtId="186" fontId="1" fillId="0" borderId="68" xfId="130" applyNumberFormat="1" applyFont="1" applyFill="1" applyBorder="1" applyAlignment="1" applyProtection="1">
      <alignment horizontal="left" vertical="center" indent="1"/>
    </xf>
    <xf numFmtId="187" fontId="3" fillId="0" borderId="11" xfId="9" applyNumberFormat="1" applyFont="1" applyFill="1" applyBorder="1" applyAlignment="1" applyProtection="1">
      <alignment horizontal="right"/>
    </xf>
    <xf numFmtId="187" fontId="3" fillId="0" borderId="10" xfId="9" applyNumberFormat="1" applyFont="1" applyFill="1" applyBorder="1" applyAlignment="1" applyProtection="1">
      <alignment horizontal="right"/>
    </xf>
    <xf numFmtId="187" fontId="3" fillId="0" borderId="11" xfId="9" applyNumberFormat="1" applyFont="1" applyFill="1" applyBorder="1" applyAlignment="1" applyProtection="1">
      <alignment horizontal="center" vertical="center"/>
    </xf>
    <xf numFmtId="186" fontId="1" fillId="0" borderId="69" xfId="130" applyNumberFormat="1" applyFont="1" applyFill="1" applyBorder="1" applyAlignment="1" applyProtection="1">
      <alignment horizontal="left" vertical="center" wrapText="1" indent="1"/>
    </xf>
    <xf numFmtId="187" fontId="3" fillId="0" borderId="45" xfId="12" applyNumberFormat="1" applyFont="1" applyFill="1" applyBorder="1" applyAlignment="1" applyProtection="1">
      <alignment horizontal="right"/>
    </xf>
    <xf numFmtId="187" fontId="3" fillId="0" borderId="46" xfId="12" applyNumberFormat="1" applyFont="1" applyFill="1" applyBorder="1" applyAlignment="1" applyProtection="1">
      <alignment horizontal="right"/>
    </xf>
    <xf numFmtId="187" fontId="3" fillId="0" borderId="45" xfId="12" applyNumberFormat="1" applyFont="1" applyFill="1" applyBorder="1" applyAlignment="1" applyProtection="1">
      <alignment horizontal="center" vertical="center"/>
    </xf>
    <xf numFmtId="0" fontId="9" fillId="2" borderId="73" xfId="0" applyFont="1" applyFill="1" applyBorder="1" applyAlignment="1" applyProtection="1">
      <alignment horizontal="center" vertical="center"/>
      <protection locked="0" hidden="1"/>
    </xf>
    <xf numFmtId="187" fontId="1" fillId="2" borderId="74" xfId="12" applyNumberFormat="1" applyFont="1" applyFill="1" applyBorder="1" applyAlignment="1" applyProtection="1">
      <alignment horizontal="center" vertical="center"/>
    </xf>
    <xf numFmtId="187" fontId="1" fillId="2" borderId="62" xfId="12" applyNumberFormat="1" applyFont="1" applyFill="1" applyBorder="1" applyAlignment="1" applyProtection="1">
      <alignment horizontal="center" vertical="center"/>
    </xf>
    <xf numFmtId="186" fontId="1" fillId="0" borderId="0" xfId="130" applyNumberFormat="1" applyFont="1" applyFill="1" applyAlignment="1">
      <alignment horizontal="left"/>
    </xf>
    <xf numFmtId="186" fontId="1" fillId="0" borderId="0" xfId="130" applyNumberFormat="1" applyFont="1" applyFill="1" applyAlignment="1" applyProtection="1">
      <alignment horizontal="center" vertical="center"/>
    </xf>
    <xf numFmtId="186" fontId="1" fillId="0" borderId="0" xfId="130" applyNumberFormat="1" applyFont="1" applyFill="1" applyAlignment="1" applyProtection="1">
      <alignment horizontal="left"/>
    </xf>
    <xf numFmtId="187" fontId="1" fillId="0" borderId="17" xfId="0" applyNumberFormat="1" applyFont="1" applyFill="1" applyBorder="1" applyAlignment="1" applyProtection="1">
      <alignment horizontal="center" vertical="center"/>
    </xf>
    <xf numFmtId="187" fontId="1" fillId="0" borderId="18" xfId="0" applyNumberFormat="1" applyFont="1" applyFill="1" applyBorder="1" applyAlignment="1" applyProtection="1">
      <alignment horizontal="center" vertical="center"/>
    </xf>
    <xf numFmtId="187" fontId="1" fillId="0" borderId="7" xfId="0" applyNumberFormat="1" applyFont="1" applyFill="1" applyBorder="1" applyAlignment="1" applyProtection="1">
      <alignment horizontal="center" vertical="center"/>
    </xf>
    <xf numFmtId="187" fontId="1" fillId="0" borderId="19" xfId="9" applyNumberFormat="1" applyFont="1" applyFill="1" applyBorder="1" applyAlignment="1" applyProtection="1">
      <alignment horizontal="center" vertical="center"/>
    </xf>
    <xf numFmtId="187" fontId="1" fillId="0" borderId="36" xfId="9" applyNumberFormat="1" applyFont="1" applyFill="1" applyBorder="1" applyAlignment="1">
      <alignment horizontal="center" vertical="center"/>
    </xf>
    <xf numFmtId="187" fontId="1" fillId="0" borderId="19" xfId="9" applyNumberFormat="1" applyFont="1" applyFill="1" applyBorder="1" applyAlignment="1">
      <alignment horizontal="center" vertical="center"/>
    </xf>
    <xf numFmtId="187" fontId="1" fillId="2" borderId="56" xfId="9" applyNumberFormat="1" applyFont="1" applyFill="1" applyBorder="1" applyAlignment="1" applyProtection="1">
      <alignment horizontal="center" vertical="center"/>
    </xf>
    <xf numFmtId="187" fontId="1" fillId="0" borderId="75" xfId="9" applyNumberFormat="1" applyFont="1" applyFill="1" applyBorder="1" applyAlignment="1" applyProtection="1">
      <alignment horizontal="center" vertical="center"/>
    </xf>
    <xf numFmtId="187" fontId="1" fillId="0" borderId="76" xfId="9" applyNumberFormat="1" applyFont="1" applyFill="1" applyBorder="1" applyAlignment="1">
      <alignment horizontal="center" vertical="center"/>
    </xf>
    <xf numFmtId="187" fontId="1" fillId="0" borderId="72" xfId="9" applyNumberFormat="1" applyFont="1" applyFill="1" applyBorder="1" applyAlignment="1" applyProtection="1">
      <alignment horizontal="center" vertical="center"/>
    </xf>
    <xf numFmtId="187" fontId="3" fillId="0" borderId="19" xfId="9" applyNumberFormat="1" applyFont="1" applyFill="1" applyBorder="1" applyAlignment="1" applyProtection="1">
      <alignment horizontal="center" vertical="center"/>
    </xf>
    <xf numFmtId="187" fontId="3" fillId="0" borderId="10" xfId="9" applyNumberFormat="1" applyFont="1" applyFill="1" applyBorder="1" applyAlignment="1" applyProtection="1">
      <alignment horizontal="center" vertical="center"/>
    </xf>
    <xf numFmtId="187" fontId="3" fillId="0" borderId="49" xfId="12" applyNumberFormat="1" applyFont="1" applyFill="1" applyBorder="1" applyAlignment="1" applyProtection="1">
      <alignment horizontal="center" vertical="center"/>
    </xf>
    <xf numFmtId="187" fontId="3" fillId="0" borderId="46" xfId="12" applyNumberFormat="1" applyFont="1" applyFill="1" applyBorder="1" applyAlignment="1" applyProtection="1">
      <alignment horizontal="center" vertical="center"/>
    </xf>
    <xf numFmtId="187" fontId="1" fillId="2" borderId="61" xfId="12" applyNumberFormat="1" applyFont="1" applyFill="1" applyBorder="1" applyAlignment="1" applyProtection="1">
      <alignment horizontal="center" vertical="center"/>
    </xf>
    <xf numFmtId="187" fontId="1" fillId="2" borderId="64" xfId="12" applyNumberFormat="1" applyFont="1" applyFill="1" applyBorder="1" applyAlignment="1" applyProtection="1">
      <alignment horizontal="center" vertical="center"/>
    </xf>
    <xf numFmtId="186" fontId="1" fillId="2" borderId="20" xfId="0" applyNumberFormat="1" applyFont="1" applyFill="1" applyBorder="1" applyAlignment="1" applyProtection="1">
      <alignment horizontal="center" vertical="center" wrapText="1"/>
    </xf>
    <xf numFmtId="9" fontId="1" fillId="2" borderId="21" xfId="0" applyNumberFormat="1" applyFont="1" applyFill="1" applyBorder="1" applyAlignment="1" applyProtection="1">
      <alignment horizontal="center" vertical="center" wrapText="1"/>
    </xf>
    <xf numFmtId="186" fontId="1" fillId="2" borderId="23" xfId="0" applyNumberFormat="1" applyFont="1" applyFill="1" applyBorder="1" applyAlignment="1" applyProtection="1">
      <alignment horizontal="center" vertical="center" wrapText="1"/>
    </xf>
    <xf numFmtId="9" fontId="1" fillId="2" borderId="24" xfId="0" applyNumberFormat="1" applyFont="1" applyFill="1" applyBorder="1" applyAlignment="1" applyProtection="1">
      <alignment horizontal="center" vertical="center" wrapText="1"/>
    </xf>
    <xf numFmtId="9" fontId="1" fillId="0" borderId="9" xfId="0" applyNumberFormat="1" applyFont="1" applyFill="1" applyBorder="1" applyAlignment="1" applyProtection="1">
      <alignment horizontal="center" vertical="center"/>
    </xf>
    <xf numFmtId="187" fontId="1" fillId="0" borderId="36" xfId="219" applyNumberFormat="1" applyFont="1" applyBorder="1" applyAlignment="1">
      <alignment horizontal="center" vertical="center"/>
    </xf>
    <xf numFmtId="9" fontId="1" fillId="0" borderId="11" xfId="219" applyNumberFormat="1" applyFont="1" applyFill="1" applyBorder="1" applyAlignment="1" applyProtection="1">
      <alignment horizontal="center" vertical="center"/>
    </xf>
    <xf numFmtId="189" fontId="1" fillId="0" borderId="27" xfId="0" applyNumberFormat="1" applyFont="1" applyFill="1" applyBorder="1" applyAlignment="1">
      <alignment horizontal="center" vertical="center"/>
    </xf>
    <xf numFmtId="189" fontId="1" fillId="0" borderId="27" xfId="130" applyNumberFormat="1" applyFont="1" applyFill="1" applyBorder="1" applyAlignment="1">
      <alignment horizontal="center" vertical="center"/>
    </xf>
    <xf numFmtId="187" fontId="1" fillId="2" borderId="52" xfId="219" applyNumberFormat="1" applyFont="1" applyFill="1" applyBorder="1" applyAlignment="1">
      <alignment horizontal="center" vertical="center"/>
    </xf>
    <xf numFmtId="187" fontId="1" fillId="2" borderId="24" xfId="9" applyNumberFormat="1" applyFont="1" applyFill="1" applyBorder="1" applyAlignment="1" applyProtection="1">
      <alignment horizontal="center" vertical="center"/>
    </xf>
    <xf numFmtId="9" fontId="1" fillId="2" borderId="24" xfId="219" applyNumberFormat="1" applyFont="1" applyFill="1" applyBorder="1" applyAlignment="1" applyProtection="1">
      <alignment horizontal="center" vertical="center"/>
    </xf>
    <xf numFmtId="189" fontId="1" fillId="2" borderId="53" xfId="0" applyNumberFormat="1" applyFont="1" applyFill="1" applyBorder="1" applyAlignment="1">
      <alignment horizontal="center" vertical="center"/>
    </xf>
    <xf numFmtId="187" fontId="1" fillId="0" borderId="18" xfId="219" applyNumberFormat="1" applyFont="1" applyBorder="1" applyAlignment="1">
      <alignment horizontal="center" vertical="center"/>
    </xf>
    <xf numFmtId="187" fontId="1" fillId="0" borderId="77" xfId="9" applyNumberFormat="1" applyFont="1" applyFill="1" applyBorder="1" applyAlignment="1" applyProtection="1">
      <alignment horizontal="center" vertical="center"/>
    </xf>
    <xf numFmtId="9" fontId="1" fillId="0" borderId="9" xfId="219" applyNumberFormat="1" applyFont="1" applyFill="1" applyBorder="1" applyAlignment="1" applyProtection="1">
      <alignment horizontal="center" vertical="center"/>
    </xf>
    <xf numFmtId="189" fontId="1" fillId="0" borderId="78" xfId="0" applyNumberFormat="1" applyFont="1" applyFill="1" applyBorder="1" applyAlignment="1">
      <alignment horizontal="center" vertical="center"/>
    </xf>
    <xf numFmtId="187" fontId="1" fillId="0" borderId="45" xfId="9" applyNumberFormat="1" applyFont="1" applyFill="1" applyBorder="1" applyAlignment="1" applyProtection="1">
      <alignment horizontal="center" vertical="center"/>
    </xf>
    <xf numFmtId="9" fontId="1" fillId="0" borderId="45" xfId="219" applyNumberFormat="1" applyFont="1" applyFill="1" applyBorder="1" applyAlignment="1" applyProtection="1">
      <alignment horizontal="center" vertical="center"/>
    </xf>
    <xf numFmtId="187" fontId="3" fillId="0" borderId="45" xfId="9" applyNumberFormat="1" applyFont="1" applyFill="1" applyBorder="1" applyAlignment="1" applyProtection="1">
      <alignment horizontal="center" vertical="center"/>
    </xf>
    <xf numFmtId="189" fontId="1" fillId="0" borderId="53" xfId="130" applyNumberFormat="1" applyFont="1" applyFill="1" applyBorder="1" applyAlignment="1">
      <alignment horizontal="center" vertical="center"/>
    </xf>
    <xf numFmtId="187" fontId="1" fillId="2" borderId="64" xfId="219" applyNumberFormat="1" applyFont="1" applyFill="1" applyBorder="1" applyAlignment="1">
      <alignment horizontal="center" vertical="center"/>
    </xf>
    <xf numFmtId="187" fontId="1" fillId="2" borderId="28" xfId="9" applyNumberFormat="1" applyFont="1" applyFill="1" applyBorder="1" applyAlignment="1" applyProtection="1">
      <alignment horizontal="center" vertical="center"/>
    </xf>
    <xf numFmtId="9" fontId="1" fillId="2" borderId="28" xfId="219" applyNumberFormat="1" applyFont="1" applyFill="1" applyBorder="1" applyAlignment="1" applyProtection="1">
      <alignment horizontal="center" vertical="center"/>
    </xf>
    <xf numFmtId="189" fontId="0" fillId="2" borderId="30" xfId="130" applyNumberFormat="1" applyFont="1" applyFill="1" applyBorder="1" applyAlignment="1">
      <alignment horizontal="center" vertical="center"/>
    </xf>
    <xf numFmtId="186" fontId="1" fillId="0" borderId="0" xfId="130" applyNumberFormat="1" applyFont="1" applyFill="1" applyAlignment="1">
      <alignment horizontal="center" vertical="center"/>
    </xf>
    <xf numFmtId="186" fontId="1" fillId="0" borderId="0" xfId="130" applyNumberFormat="1" applyFont="1" applyFill="1"/>
    <xf numFmtId="10" fontId="1" fillId="0" borderId="0" xfId="12" applyNumberFormat="1" applyFont="1" applyFill="1" applyAlignment="1">
      <alignment horizontal="center" vertical="center"/>
    </xf>
    <xf numFmtId="0" fontId="0" fillId="0" borderId="0" xfId="0" applyAlignment="1">
      <alignment horizontal="left"/>
    </xf>
    <xf numFmtId="186" fontId="1" fillId="2" borderId="79" xfId="51" applyNumberFormat="1" applyFont="1" applyFill="1" applyBorder="1" applyAlignment="1" applyProtection="1">
      <alignment horizontal="center" vertical="center" wrapText="1"/>
    </xf>
    <xf numFmtId="190" fontId="1" fillId="2" borderId="80" xfId="51" applyNumberFormat="1" applyFont="1" applyFill="1" applyBorder="1" applyAlignment="1" applyProtection="1">
      <alignment horizontal="center" vertical="center" wrapText="1"/>
    </xf>
    <xf numFmtId="190" fontId="1" fillId="2" borderId="81" xfId="0" applyNumberFormat="1" applyFont="1" applyFill="1" applyBorder="1" applyAlignment="1" applyProtection="1">
      <alignment horizontal="center" vertical="center" wrapText="1"/>
    </xf>
    <xf numFmtId="186" fontId="1" fillId="2" borderId="82" xfId="51" applyNumberFormat="1" applyFont="1" applyFill="1" applyBorder="1" applyAlignment="1">
      <alignment horizontal="center" vertical="center"/>
    </xf>
    <xf numFmtId="191" fontId="1" fillId="2" borderId="83" xfId="16" applyNumberFormat="1" applyFont="1" applyFill="1" applyBorder="1" applyAlignment="1">
      <alignment horizontal="center" vertical="center" wrapText="1"/>
    </xf>
    <xf numFmtId="191" fontId="1" fillId="2" borderId="84" xfId="16" applyNumberFormat="1" applyFont="1" applyFill="1" applyBorder="1" applyAlignment="1">
      <alignment horizontal="center" vertical="center" wrapText="1"/>
    </xf>
    <xf numFmtId="186" fontId="1" fillId="2" borderId="85" xfId="51" applyNumberFormat="1" applyFont="1" applyFill="1" applyBorder="1" applyAlignment="1">
      <alignment horizontal="center" vertical="center"/>
    </xf>
    <xf numFmtId="3" fontId="3" fillId="0" borderId="67" xfId="51" applyNumberFormat="1" applyFont="1" applyFill="1" applyBorder="1" applyAlignment="1">
      <alignment horizontal="left" vertical="center"/>
    </xf>
    <xf numFmtId="190" fontId="1" fillId="0" borderId="8" xfId="51" applyNumberFormat="1" applyFont="1" applyFill="1" applyBorder="1" applyAlignment="1" applyProtection="1">
      <alignment horizontal="left" vertical="center"/>
    </xf>
    <xf numFmtId="187" fontId="1" fillId="0" borderId="17" xfId="51" applyNumberFormat="1" applyFont="1" applyFill="1" applyBorder="1" applyAlignment="1" applyProtection="1">
      <alignment horizontal="center" vertical="center"/>
    </xf>
    <xf numFmtId="187" fontId="1" fillId="0" borderId="18" xfId="51" applyNumberFormat="1" applyFont="1" applyFill="1" applyBorder="1" applyAlignment="1" applyProtection="1">
      <alignment horizontal="center" vertical="center"/>
    </xf>
    <xf numFmtId="187" fontId="1" fillId="0" borderId="9" xfId="51" applyNumberFormat="1" applyFont="1" applyFill="1" applyBorder="1" applyAlignment="1" applyProtection="1">
      <alignment horizontal="center" vertical="center"/>
    </xf>
    <xf numFmtId="187" fontId="1" fillId="0" borderId="7" xfId="51" applyNumberFormat="1" applyFont="1" applyFill="1" applyBorder="1" applyAlignment="1" applyProtection="1">
      <alignment horizontal="center" vertical="center"/>
    </xf>
    <xf numFmtId="187" fontId="1" fillId="0" borderId="8" xfId="51" applyNumberFormat="1" applyFont="1" applyFill="1" applyBorder="1" applyAlignment="1" applyProtection="1">
      <alignment horizontal="center" vertical="center"/>
    </xf>
    <xf numFmtId="3" fontId="1" fillId="0" borderId="68" xfId="51" applyNumberFormat="1" applyFont="1" applyFill="1" applyBorder="1" applyAlignment="1">
      <alignment horizontal="left" vertical="center" indent="1"/>
    </xf>
    <xf numFmtId="190" fontId="9" fillId="0" borderId="35" xfId="51" applyNumberFormat="1" applyFont="1" applyFill="1" applyBorder="1" applyAlignment="1" applyProtection="1">
      <alignment horizontal="left" vertical="center" shrinkToFit="1"/>
      <protection locked="0" hidden="1"/>
    </xf>
    <xf numFmtId="187" fontId="9" fillId="0" borderId="19" xfId="51" applyNumberFormat="1" applyFont="1" applyFill="1" applyBorder="1" applyAlignment="1" applyProtection="1">
      <alignment horizontal="center" vertical="center" shrinkToFit="1"/>
      <protection locked="0" hidden="1"/>
    </xf>
    <xf numFmtId="187" fontId="1" fillId="0" borderId="11" xfId="51" applyNumberFormat="1" applyFont="1" applyFill="1" applyBorder="1" applyAlignment="1" applyProtection="1">
      <alignment vertical="center"/>
      <protection locked="0"/>
    </xf>
    <xf numFmtId="187" fontId="1" fillId="0" borderId="10" xfId="51" applyNumberFormat="1" applyFont="1" applyFill="1" applyBorder="1" applyAlignment="1" applyProtection="1">
      <alignment vertical="center"/>
      <protection locked="0"/>
    </xf>
    <xf numFmtId="3" fontId="1" fillId="0" borderId="68" xfId="51" applyNumberFormat="1" applyFont="1" applyFill="1" applyBorder="1" applyAlignment="1">
      <alignment horizontal="left" vertical="center" indent="2"/>
    </xf>
    <xf numFmtId="3" fontId="1" fillId="0" borderId="68" xfId="51" applyNumberFormat="1" applyFont="1" applyFill="1" applyBorder="1" applyAlignment="1">
      <alignment horizontal="left" vertical="center" indent="3"/>
    </xf>
    <xf numFmtId="3" fontId="1" fillId="0" borderId="68" xfId="51" applyNumberFormat="1" applyFont="1" applyFill="1" applyBorder="1" applyAlignment="1">
      <alignment horizontal="left" vertical="center"/>
    </xf>
    <xf numFmtId="187" fontId="1" fillId="0" borderId="11" xfId="51" applyNumberFormat="1" applyFont="1" applyFill="1" applyBorder="1" applyAlignment="1">
      <alignment vertical="center"/>
    </xf>
    <xf numFmtId="187" fontId="1" fillId="0" borderId="10" xfId="51" applyNumberFormat="1" applyFont="1" applyFill="1" applyBorder="1" applyAlignment="1">
      <alignment vertical="center"/>
    </xf>
    <xf numFmtId="191" fontId="1" fillId="2" borderId="86" xfId="16" applyNumberFormat="1" applyFont="1" applyFill="1" applyBorder="1" applyAlignment="1">
      <alignment horizontal="center" vertical="center" wrapText="1"/>
    </xf>
    <xf numFmtId="187" fontId="1" fillId="0" borderId="19" xfId="51" applyNumberFormat="1" applyFont="1" applyFill="1" applyBorder="1" applyAlignment="1" applyProtection="1">
      <alignment vertical="center"/>
      <protection locked="0"/>
    </xf>
    <xf numFmtId="187" fontId="1" fillId="0" borderId="19" xfId="51" applyNumberFormat="1" applyFont="1" applyFill="1" applyBorder="1" applyAlignment="1">
      <alignment vertical="center"/>
    </xf>
    <xf numFmtId="4" fontId="1" fillId="2" borderId="87" xfId="51" applyNumberFormat="1" applyFont="1" applyFill="1" applyBorder="1" applyAlignment="1" applyProtection="1">
      <alignment horizontal="center" vertical="center" wrapText="1"/>
    </xf>
    <xf numFmtId="4" fontId="1" fillId="2" borderId="88" xfId="51" applyNumberFormat="1" applyFont="1" applyFill="1" applyBorder="1" applyAlignment="1" applyProtection="1">
      <alignment horizontal="center" vertical="center" wrapText="1"/>
    </xf>
    <xf numFmtId="186" fontId="1" fillId="2" borderId="88" xfId="51" applyNumberFormat="1" applyFont="1" applyFill="1" applyBorder="1" applyAlignment="1" applyProtection="1">
      <alignment horizontal="center" vertical="center" wrapText="1"/>
    </xf>
    <xf numFmtId="4" fontId="1" fillId="0" borderId="9" xfId="51" applyNumberFormat="1" applyFont="1" applyFill="1" applyBorder="1" applyAlignment="1" applyProtection="1">
      <alignment horizontal="center" vertical="center"/>
    </xf>
    <xf numFmtId="185" fontId="1" fillId="0" borderId="9" xfId="51" applyNumberFormat="1" applyFont="1" applyFill="1" applyBorder="1" applyAlignment="1" applyProtection="1">
      <alignment horizontal="center" vertical="center"/>
    </xf>
    <xf numFmtId="4" fontId="1" fillId="0" borderId="11" xfId="51" applyNumberFormat="1" applyFont="1" applyFill="1" applyBorder="1" applyAlignment="1">
      <alignment horizontal="right" vertical="center"/>
    </xf>
    <xf numFmtId="4" fontId="1" fillId="0" borderId="11" xfId="51" applyNumberFormat="1" applyFont="1" applyFill="1" applyBorder="1" applyAlignment="1" applyProtection="1">
      <alignment vertical="center"/>
      <protection locked="0"/>
    </xf>
    <xf numFmtId="186" fontId="1" fillId="2" borderId="89" xfId="51" applyNumberFormat="1" applyFont="1" applyFill="1" applyBorder="1" applyAlignment="1">
      <alignment horizontal="center" vertical="center" wrapText="1"/>
    </xf>
    <xf numFmtId="186" fontId="1" fillId="0" borderId="26" xfId="51" applyNumberFormat="1" applyFont="1" applyFill="1" applyBorder="1" applyAlignment="1">
      <alignment vertical="center"/>
    </xf>
    <xf numFmtId="186" fontId="1" fillId="0" borderId="27" xfId="51" applyNumberFormat="1" applyFont="1" applyFill="1" applyBorder="1" applyAlignment="1">
      <alignment vertical="center"/>
    </xf>
    <xf numFmtId="190" fontId="4" fillId="0" borderId="35" xfId="51" applyNumberFormat="1" applyFont="1" applyFill="1" applyBorder="1" applyAlignment="1">
      <alignment horizontal="center" vertical="center"/>
    </xf>
    <xf numFmtId="190" fontId="9" fillId="0" borderId="35" xfId="51" applyNumberFormat="1" applyFont="1" applyFill="1" applyBorder="1" applyAlignment="1" applyProtection="1">
      <alignment horizontal="left" vertical="center"/>
      <protection locked="0" hidden="1"/>
    </xf>
    <xf numFmtId="190" fontId="1" fillId="0" borderId="35" xfId="51" applyNumberFormat="1" applyFont="1" applyFill="1" applyBorder="1" applyAlignment="1" applyProtection="1">
      <alignment vertical="center"/>
    </xf>
    <xf numFmtId="3" fontId="1" fillId="0" borderId="69" xfId="51" applyNumberFormat="1" applyFont="1" applyFill="1" applyBorder="1" applyAlignment="1">
      <alignment horizontal="left" vertical="center"/>
    </xf>
    <xf numFmtId="190" fontId="9" fillId="0" borderId="56" xfId="51" applyNumberFormat="1" applyFont="1" applyFill="1" applyBorder="1" applyAlignment="1" applyProtection="1">
      <alignment horizontal="left" vertical="center"/>
      <protection locked="0" hidden="1"/>
    </xf>
    <xf numFmtId="187" fontId="9" fillId="0" borderId="47" xfId="51" applyNumberFormat="1" applyFont="1" applyFill="1" applyBorder="1" applyAlignment="1" applyProtection="1">
      <alignment horizontal="center" vertical="center" shrinkToFit="1"/>
      <protection locked="0" hidden="1"/>
    </xf>
    <xf numFmtId="187" fontId="1" fillId="0" borderId="45" xfId="51" applyNumberFormat="1" applyFont="1" applyFill="1" applyBorder="1" applyAlignment="1" applyProtection="1">
      <alignment vertical="center"/>
      <protection locked="0"/>
    </xf>
    <xf numFmtId="187" fontId="1" fillId="0" borderId="46" xfId="51" applyNumberFormat="1" applyFont="1" applyFill="1" applyBorder="1" applyAlignment="1" applyProtection="1">
      <alignment vertical="center"/>
      <protection locked="0"/>
    </xf>
    <xf numFmtId="187" fontId="1" fillId="0" borderId="39" xfId="51" applyNumberFormat="1" applyFont="1" applyFill="1" applyBorder="1" applyAlignment="1" applyProtection="1">
      <alignment horizontal="center" vertical="center"/>
    </xf>
    <xf numFmtId="3" fontId="3" fillId="0" borderId="70" xfId="51" applyNumberFormat="1" applyFont="1" applyFill="1" applyBorder="1" applyAlignment="1">
      <alignment horizontal="left" vertical="center"/>
    </xf>
    <xf numFmtId="190" fontId="9" fillId="0" borderId="41" xfId="51" applyNumberFormat="1" applyFont="1" applyFill="1" applyBorder="1" applyAlignment="1" applyProtection="1">
      <alignment horizontal="left" vertical="center"/>
      <protection locked="0" hidden="1"/>
    </xf>
    <xf numFmtId="187" fontId="9" fillId="0" borderId="17" xfId="51" applyNumberFormat="1" applyFont="1" applyFill="1" applyBorder="1" applyAlignment="1" applyProtection="1">
      <alignment horizontal="center" vertical="center" shrinkToFit="1"/>
      <protection locked="0" hidden="1"/>
    </xf>
    <xf numFmtId="187" fontId="1" fillId="0" borderId="76" xfId="51" applyNumberFormat="1" applyFont="1" applyFill="1" applyBorder="1" applyAlignment="1">
      <alignment horizontal="center" vertical="center"/>
    </xf>
    <xf numFmtId="187" fontId="1" fillId="0" borderId="71" xfId="51" applyNumberFormat="1" applyFont="1" applyFill="1" applyBorder="1" applyAlignment="1" applyProtection="1">
      <alignment vertical="center"/>
      <protection locked="0"/>
    </xf>
    <xf numFmtId="187" fontId="1" fillId="0" borderId="72" xfId="51" applyNumberFormat="1" applyFont="1" applyFill="1" applyBorder="1" applyAlignment="1" applyProtection="1">
      <alignment vertical="center"/>
      <protection locked="0"/>
    </xf>
    <xf numFmtId="187" fontId="1" fillId="0" borderId="8" xfId="51" applyNumberFormat="1" applyFont="1" applyFill="1" applyBorder="1" applyAlignment="1">
      <alignment horizontal="center" vertical="center"/>
    </xf>
    <xf numFmtId="187" fontId="1" fillId="0" borderId="36" xfId="51" applyNumberFormat="1" applyFont="1" applyFill="1" applyBorder="1" applyAlignment="1">
      <alignment horizontal="center" vertical="center"/>
    </xf>
    <xf numFmtId="187" fontId="1" fillId="0" borderId="35" xfId="51" applyNumberFormat="1" applyFont="1" applyFill="1" applyBorder="1" applyAlignment="1">
      <alignment horizontal="center" vertical="center"/>
    </xf>
    <xf numFmtId="187" fontId="1" fillId="0" borderId="18" xfId="51" applyNumberFormat="1" applyFont="1" applyFill="1" applyBorder="1" applyAlignment="1">
      <alignment horizontal="center" vertical="center"/>
    </xf>
    <xf numFmtId="190" fontId="4" fillId="0" borderId="35" xfId="51" applyNumberFormat="1" applyFont="1" applyFill="1" applyBorder="1" applyAlignment="1" applyProtection="1">
      <alignment horizontal="centerContinuous" vertical="center"/>
    </xf>
    <xf numFmtId="187" fontId="1" fillId="0" borderId="19" xfId="51" applyNumberFormat="1" applyFont="1" applyFill="1" applyBorder="1" applyAlignment="1" applyProtection="1">
      <alignment horizontal="center" vertical="center"/>
    </xf>
    <xf numFmtId="3" fontId="1" fillId="2" borderId="66" xfId="51" applyNumberFormat="1" applyFont="1" applyFill="1" applyBorder="1" applyAlignment="1">
      <alignment horizontal="center" vertical="center"/>
    </xf>
    <xf numFmtId="190" fontId="1" fillId="2" borderId="54" xfId="51" applyNumberFormat="1" applyFont="1" applyFill="1" applyBorder="1" applyAlignment="1" applyProtection="1">
      <alignment horizontal="centerContinuous" vertical="center"/>
    </xf>
    <xf numFmtId="187" fontId="1" fillId="2" borderId="3" xfId="51" applyNumberFormat="1" applyFont="1" applyFill="1" applyBorder="1" applyAlignment="1" applyProtection="1">
      <alignment horizontal="center" vertical="center"/>
    </xf>
    <xf numFmtId="187" fontId="1" fillId="2" borderId="54" xfId="51" applyNumberFormat="1" applyFont="1" applyFill="1" applyBorder="1" applyAlignment="1">
      <alignment horizontal="center" vertical="center"/>
    </xf>
    <xf numFmtId="187" fontId="1" fillId="2" borderId="24" xfId="51" applyNumberFormat="1" applyFont="1" applyFill="1" applyBorder="1" applyAlignment="1">
      <alignment horizontal="center" vertical="center"/>
    </xf>
    <xf numFmtId="187" fontId="1" fillId="2" borderId="47" xfId="51" applyNumberFormat="1" applyFont="1" applyFill="1" applyBorder="1" applyAlignment="1">
      <alignment horizontal="center" vertical="center"/>
    </xf>
    <xf numFmtId="187" fontId="1" fillId="2" borderId="52" xfId="51" applyNumberFormat="1" applyFont="1" applyFill="1" applyBorder="1" applyAlignment="1">
      <alignment horizontal="center" vertical="center"/>
    </xf>
    <xf numFmtId="3" fontId="1" fillId="0" borderId="90" xfId="51" applyNumberFormat="1" applyFont="1" applyFill="1" applyBorder="1" applyAlignment="1">
      <alignment horizontal="left" vertical="center"/>
    </xf>
    <xf numFmtId="190" fontId="1" fillId="0" borderId="40" xfId="51" applyNumberFormat="1" applyFont="1" applyFill="1" applyBorder="1" applyAlignment="1" applyProtection="1">
      <alignment horizontal="centerContinuous" vertical="center"/>
    </xf>
    <xf numFmtId="187" fontId="1" fillId="0" borderId="8" xfId="51" applyNumberFormat="1" applyFont="1" applyFill="1" applyBorder="1" applyAlignment="1">
      <alignment horizontal="right" vertical="center"/>
    </xf>
    <xf numFmtId="187" fontId="1" fillId="0" borderId="9" xfId="51" applyNumberFormat="1" applyFont="1" applyFill="1" applyBorder="1" applyAlignment="1" applyProtection="1">
      <alignment vertical="center"/>
    </xf>
    <xf numFmtId="187" fontId="1" fillId="0" borderId="17" xfId="51" applyNumberFormat="1" applyFont="1" applyFill="1" applyBorder="1" applyAlignment="1" applyProtection="1">
      <alignment vertical="center"/>
    </xf>
    <xf numFmtId="187" fontId="1" fillId="0" borderId="18" xfId="51" applyNumberFormat="1" applyFont="1" applyFill="1" applyBorder="1" applyAlignment="1">
      <alignment horizontal="right" vertical="center"/>
    </xf>
    <xf numFmtId="3" fontId="3" fillId="2" borderId="73" xfId="51" applyNumberFormat="1" applyFont="1" applyFill="1" applyBorder="1" applyAlignment="1">
      <alignment horizontal="center" vertical="center"/>
    </xf>
    <xf numFmtId="190" fontId="1" fillId="2" borderId="74" xfId="51" applyNumberFormat="1" applyFont="1" applyFill="1" applyBorder="1" applyAlignment="1" applyProtection="1">
      <alignment horizontal="centerContinuous" vertical="center"/>
    </xf>
    <xf numFmtId="187" fontId="1" fillId="2" borderId="12" xfId="51" applyNumberFormat="1" applyFont="1" applyFill="1" applyBorder="1" applyAlignment="1" applyProtection="1">
      <alignment horizontal="center" vertical="center"/>
    </xf>
    <xf numFmtId="187" fontId="1" fillId="2" borderId="74" xfId="51" applyNumberFormat="1" applyFont="1" applyFill="1" applyBorder="1" applyAlignment="1" applyProtection="1">
      <alignment horizontal="center" vertical="center"/>
    </xf>
    <xf numFmtId="187" fontId="1" fillId="2" borderId="28" xfId="51" applyNumberFormat="1" applyFont="1" applyFill="1" applyBorder="1" applyAlignment="1" applyProtection="1">
      <alignment horizontal="center" vertical="center"/>
    </xf>
    <xf numFmtId="187" fontId="1" fillId="2" borderId="63" xfId="51" applyNumberFormat="1" applyFont="1" applyFill="1" applyBorder="1" applyAlignment="1" applyProtection="1">
      <alignment horizontal="center" vertical="center"/>
    </xf>
    <xf numFmtId="187" fontId="1" fillId="2" borderId="64" xfId="51" applyNumberFormat="1" applyFont="1" applyFill="1" applyBorder="1" applyAlignment="1" applyProtection="1">
      <alignment horizontal="center" vertical="center"/>
    </xf>
    <xf numFmtId="4" fontId="1" fillId="0" borderId="0" xfId="51" applyNumberFormat="1" applyFont="1" applyFill="1" applyBorder="1" applyAlignment="1" applyProtection="1">
      <alignment horizontal="left"/>
    </xf>
    <xf numFmtId="4" fontId="1" fillId="0" borderId="0" xfId="51" applyNumberFormat="1" applyFont="1" applyFill="1" applyAlignment="1">
      <alignment vertical="center"/>
    </xf>
    <xf numFmtId="190" fontId="1" fillId="0" borderId="0" xfId="51" applyNumberFormat="1" applyFont="1" applyFill="1" applyAlignment="1">
      <alignment vertical="center"/>
    </xf>
    <xf numFmtId="4" fontId="1" fillId="0" borderId="0" xfId="51" applyNumberFormat="1" applyFont="1" applyFill="1" applyBorder="1" applyAlignment="1" applyProtection="1">
      <alignment vertical="center"/>
    </xf>
    <xf numFmtId="4" fontId="1" fillId="0" borderId="0" xfId="51" applyNumberFormat="1" applyFont="1" applyFill="1" applyAlignment="1" applyProtection="1">
      <alignment vertical="center"/>
    </xf>
    <xf numFmtId="4" fontId="7" fillId="0" borderId="0" xfId="51" applyNumberFormat="1" applyFont="1" applyFill="1" applyAlignment="1">
      <alignment horizontal="left" vertical="center"/>
    </xf>
    <xf numFmtId="190" fontId="7" fillId="0" borderId="0" xfId="51" applyNumberFormat="1" applyFont="1" applyFill="1" applyAlignment="1">
      <alignment vertical="center"/>
    </xf>
    <xf numFmtId="190" fontId="7" fillId="0" borderId="0" xfId="51" applyNumberFormat="1" applyFont="1" applyFill="1" applyAlignment="1">
      <alignment horizontal="center" vertical="center"/>
    </xf>
    <xf numFmtId="4" fontId="7" fillId="0" borderId="0" xfId="51" applyNumberFormat="1" applyFont="1" applyFill="1" applyAlignment="1">
      <alignment vertical="center"/>
    </xf>
    <xf numFmtId="186" fontId="0" fillId="0" borderId="0" xfId="51" applyNumberFormat="1" applyFont="1" applyFill="1" applyAlignment="1">
      <alignment horizontal="left" vertical="center"/>
    </xf>
    <xf numFmtId="190" fontId="0" fillId="0" borderId="0" xfId="51" applyNumberFormat="1" applyFont="1" applyFill="1" applyAlignment="1">
      <alignment vertical="center"/>
    </xf>
    <xf numFmtId="190" fontId="0" fillId="0" borderId="0" xfId="51" applyNumberFormat="1" applyFont="1" applyFill="1" applyAlignment="1">
      <alignment horizontal="center" vertical="center"/>
    </xf>
    <xf numFmtId="186" fontId="0" fillId="0" borderId="0" xfId="51" applyNumberFormat="1" applyFont="1" applyFill="1" applyAlignment="1">
      <alignment vertical="center"/>
    </xf>
    <xf numFmtId="187" fontId="1" fillId="0" borderId="49" xfId="51" applyNumberFormat="1" applyFont="1" applyFill="1" applyBorder="1" applyAlignment="1" applyProtection="1">
      <alignment vertical="center"/>
      <protection locked="0"/>
    </xf>
    <xf numFmtId="187" fontId="1" fillId="0" borderId="75" xfId="51" applyNumberFormat="1" applyFont="1" applyFill="1" applyBorder="1" applyAlignment="1" applyProtection="1">
      <alignment vertical="center"/>
      <protection locked="0"/>
    </xf>
    <xf numFmtId="187" fontId="1" fillId="0" borderId="41" xfId="51" applyNumberFormat="1" applyFont="1" applyFill="1" applyBorder="1" applyAlignment="1">
      <alignment horizontal="center" vertical="center"/>
    </xf>
    <xf numFmtId="187" fontId="1" fillId="0" borderId="9" xfId="51" applyNumberFormat="1" applyFont="1" applyFill="1" applyBorder="1" applyAlignment="1">
      <alignment horizontal="right" vertical="center"/>
    </xf>
    <xf numFmtId="4" fontId="1" fillId="0" borderId="11" xfId="51" applyNumberFormat="1" applyFont="1" applyFill="1" applyBorder="1" applyAlignment="1" applyProtection="1">
      <alignment vertical="center"/>
    </xf>
    <xf numFmtId="4" fontId="1" fillId="0" borderId="45" xfId="51" applyNumberFormat="1" applyFont="1" applyFill="1" applyBorder="1" applyAlignment="1">
      <alignment horizontal="right" vertical="center"/>
    </xf>
    <xf numFmtId="4" fontId="1" fillId="0" borderId="45" xfId="51" applyNumberFormat="1" applyFont="1" applyFill="1" applyBorder="1" applyAlignment="1" applyProtection="1">
      <alignment vertical="center"/>
      <protection locked="0"/>
    </xf>
    <xf numFmtId="4" fontId="1" fillId="0" borderId="71" xfId="51" applyNumberFormat="1" applyFont="1" applyFill="1" applyBorder="1" applyAlignment="1">
      <alignment horizontal="right" vertical="center"/>
    </xf>
    <xf numFmtId="4" fontId="1" fillId="0" borderId="71" xfId="51" applyNumberFormat="1" applyFont="1" applyFill="1" applyBorder="1" applyAlignment="1" applyProtection="1">
      <alignment vertical="center"/>
      <protection locked="0"/>
    </xf>
    <xf numFmtId="4" fontId="1" fillId="2" borderId="91" xfId="51" applyNumberFormat="1" applyFont="1" applyFill="1" applyBorder="1" applyAlignment="1" applyProtection="1">
      <alignment horizontal="center" vertical="center"/>
    </xf>
    <xf numFmtId="185" fontId="1" fillId="2" borderId="91" xfId="51" applyNumberFormat="1" applyFont="1" applyFill="1" applyBorder="1" applyAlignment="1" applyProtection="1">
      <alignment horizontal="center" vertical="center"/>
    </xf>
    <xf numFmtId="4" fontId="1" fillId="0" borderId="9" xfId="51" applyNumberFormat="1" applyFont="1" applyFill="1" applyBorder="1" applyAlignment="1">
      <alignment horizontal="right" vertical="center"/>
    </xf>
    <xf numFmtId="4" fontId="1" fillId="0" borderId="9" xfId="51" applyNumberFormat="1" applyFont="1" applyFill="1" applyBorder="1" applyAlignment="1" applyProtection="1">
      <alignment vertical="center"/>
    </xf>
    <xf numFmtId="4" fontId="1" fillId="2" borderId="9" xfId="51" applyNumberFormat="1" applyFont="1" applyFill="1" applyBorder="1" applyAlignment="1" applyProtection="1">
      <alignment horizontal="center" vertical="center"/>
    </xf>
    <xf numFmtId="185" fontId="1" fillId="2" borderId="9" xfId="51" applyNumberFormat="1" applyFont="1" applyFill="1" applyBorder="1" applyAlignment="1" applyProtection="1">
      <alignment horizontal="center" vertical="center"/>
    </xf>
    <xf numFmtId="4" fontId="1" fillId="2" borderId="28" xfId="51" applyNumberFormat="1" applyFont="1" applyFill="1" applyBorder="1" applyAlignment="1" applyProtection="1">
      <alignment horizontal="center" vertical="center"/>
    </xf>
    <xf numFmtId="185" fontId="1" fillId="2" borderId="28" xfId="51" applyNumberFormat="1" applyFont="1" applyFill="1" applyBorder="1" applyAlignment="1" applyProtection="1">
      <alignment horizontal="center" vertical="center"/>
    </xf>
    <xf numFmtId="186" fontId="1" fillId="0" borderId="0" xfId="51" applyNumberFormat="1" applyFont="1" applyFill="1" applyBorder="1" applyAlignment="1" applyProtection="1">
      <alignment horizontal="left" vertical="center"/>
    </xf>
    <xf numFmtId="186" fontId="1" fillId="0" borderId="0" xfId="51" applyNumberFormat="1" applyFont="1" applyFill="1" applyAlignment="1" applyProtection="1">
      <alignment horizontal="left" vertical="center"/>
    </xf>
    <xf numFmtId="186" fontId="1" fillId="0" borderId="0" xfId="51" applyNumberFormat="1" applyFont="1" applyFill="1" applyAlignment="1">
      <alignment vertical="center"/>
    </xf>
    <xf numFmtId="4" fontId="7" fillId="0" borderId="0" xfId="133" applyNumberFormat="1" applyFont="1" applyFill="1" applyAlignment="1">
      <alignment vertical="center"/>
    </xf>
    <xf numFmtId="4" fontId="0" fillId="0" borderId="0" xfId="51" applyNumberFormat="1" applyFont="1" applyFill="1" applyAlignment="1">
      <alignment vertical="center"/>
    </xf>
    <xf numFmtId="186" fontId="1" fillId="0" borderId="53" xfId="51" applyNumberFormat="1" applyFont="1" applyFill="1" applyBorder="1" applyAlignment="1">
      <alignment vertical="center"/>
    </xf>
    <xf numFmtId="186" fontId="1" fillId="0" borderId="78" xfId="51" applyNumberFormat="1" applyFont="1" applyFill="1" applyBorder="1" applyAlignment="1">
      <alignment vertical="center"/>
    </xf>
    <xf numFmtId="186" fontId="1" fillId="2" borderId="25" xfId="51" applyNumberFormat="1" applyFont="1" applyFill="1" applyBorder="1" applyAlignment="1">
      <alignment vertical="center"/>
    </xf>
    <xf numFmtId="186" fontId="1" fillId="2" borderId="26" xfId="51" applyNumberFormat="1" applyFont="1" applyFill="1" applyBorder="1" applyAlignment="1">
      <alignment vertical="center"/>
    </xf>
    <xf numFmtId="186" fontId="1" fillId="2" borderId="30" xfId="51" applyNumberFormat="1" applyFont="1" applyFill="1" applyBorder="1" applyAlignment="1">
      <alignment vertical="center"/>
    </xf>
    <xf numFmtId="0" fontId="0" fillId="0" borderId="0" xfId="0" applyFont="1"/>
    <xf numFmtId="49" fontId="1" fillId="2" borderId="65" xfId="0" applyNumberFormat="1" applyFont="1" applyFill="1" applyBorder="1" applyAlignment="1">
      <alignment horizontal="center" vertical="center"/>
    </xf>
    <xf numFmtId="49" fontId="1" fillId="2" borderId="66" xfId="0" applyNumberFormat="1" applyFont="1" applyFill="1" applyBorder="1" applyAlignment="1">
      <alignment horizontal="center" vertical="center"/>
    </xf>
    <xf numFmtId="186" fontId="1" fillId="2" borderId="54" xfId="0" applyNumberFormat="1" applyFont="1" applyFill="1" applyBorder="1" applyAlignment="1">
      <alignment horizontal="center" vertical="center" wrapText="1"/>
    </xf>
    <xf numFmtId="189" fontId="1" fillId="2" borderId="4" xfId="9" applyNumberFormat="1" applyFont="1" applyFill="1" applyBorder="1" applyAlignment="1">
      <alignment horizontal="center" vertical="center" wrapText="1"/>
    </xf>
    <xf numFmtId="192" fontId="1" fillId="2" borderId="5" xfId="0" applyNumberFormat="1" applyFont="1" applyFill="1" applyBorder="1" applyAlignment="1">
      <alignment horizontal="center" vertical="center" wrapText="1"/>
    </xf>
    <xf numFmtId="192" fontId="1" fillId="2" borderId="15" xfId="0" applyNumberFormat="1" applyFont="1" applyFill="1" applyBorder="1" applyAlignment="1">
      <alignment horizontal="center" vertical="center" wrapText="1"/>
    </xf>
    <xf numFmtId="189" fontId="1" fillId="2" borderId="16" xfId="9" applyNumberFormat="1" applyFont="1" applyFill="1" applyBorder="1" applyAlignment="1">
      <alignment horizontal="center" vertical="center" wrapText="1"/>
    </xf>
    <xf numFmtId="186" fontId="3" fillId="0" borderId="33" xfId="0" applyNumberFormat="1" applyFont="1" applyFill="1" applyBorder="1" applyAlignment="1">
      <alignment horizontal="left" vertical="center" wrapText="1"/>
    </xf>
    <xf numFmtId="187" fontId="1" fillId="0" borderId="92" xfId="0" applyNumberFormat="1" applyFont="1" applyFill="1" applyBorder="1" applyAlignment="1">
      <alignment horizontal="right" vertical="center" wrapText="1"/>
    </xf>
    <xf numFmtId="187" fontId="1" fillId="0" borderId="93" xfId="0" applyNumberFormat="1" applyFont="1" applyFill="1" applyBorder="1" applyAlignment="1">
      <alignment horizontal="right" vertical="center" wrapText="1"/>
    </xf>
    <xf numFmtId="187" fontId="1" fillId="0" borderId="93" xfId="9" applyNumberFormat="1" applyFont="1" applyFill="1" applyBorder="1" applyAlignment="1">
      <alignment horizontal="right" vertical="center" wrapText="1"/>
    </xf>
    <xf numFmtId="49" fontId="1" fillId="0" borderId="34" xfId="11" applyNumberFormat="1" applyFont="1" applyFill="1" applyBorder="1" applyAlignment="1" applyProtection="1">
      <alignment horizontal="left" vertical="center" wrapText="1" indent="1"/>
    </xf>
    <xf numFmtId="187" fontId="1" fillId="0" borderId="94" xfId="0" applyNumberFormat="1" applyFont="1" applyFill="1" applyBorder="1" applyAlignment="1">
      <alignment horizontal="right" vertical="center" wrapText="1"/>
    </xf>
    <xf numFmtId="187" fontId="1" fillId="0" borderId="95" xfId="0" applyNumberFormat="1" applyFont="1" applyFill="1" applyBorder="1" applyAlignment="1">
      <alignment horizontal="right" vertical="center" wrapText="1"/>
    </xf>
    <xf numFmtId="187" fontId="1" fillId="0" borderId="95" xfId="9" applyNumberFormat="1" applyFont="1" applyFill="1" applyBorder="1" applyAlignment="1">
      <alignment horizontal="right" vertical="center"/>
    </xf>
    <xf numFmtId="49" fontId="1" fillId="0" borderId="34" xfId="0" applyNumberFormat="1" applyFont="1" applyFill="1" applyBorder="1" applyAlignment="1">
      <alignment horizontal="left" vertical="center" indent="1"/>
    </xf>
    <xf numFmtId="0" fontId="1" fillId="0" borderId="34" xfId="0" applyFont="1" applyFill="1" applyBorder="1" applyAlignment="1">
      <alignment horizontal="left" vertical="center" indent="1"/>
    </xf>
    <xf numFmtId="0" fontId="1" fillId="0" borderId="34" xfId="0" applyFont="1" applyFill="1" applyBorder="1" applyAlignment="1" applyProtection="1">
      <alignment horizontal="left" vertical="center" wrapText="1" indent="1"/>
      <protection locked="0"/>
    </xf>
    <xf numFmtId="0" fontId="1" fillId="0" borderId="34" xfId="11" applyFont="1" applyFill="1" applyBorder="1" applyAlignment="1" applyProtection="1">
      <alignment horizontal="left" vertical="center" indent="1"/>
    </xf>
    <xf numFmtId="0" fontId="1" fillId="0" borderId="44" xfId="0" applyFont="1" applyFill="1" applyBorder="1" applyAlignment="1">
      <alignment horizontal="left" vertical="center" indent="1"/>
    </xf>
    <xf numFmtId="186" fontId="4" fillId="2" borderId="32" xfId="0" applyNumberFormat="1" applyFont="1" applyFill="1" applyBorder="1" applyAlignment="1">
      <alignment horizontal="center" vertical="center" wrapText="1"/>
    </xf>
    <xf numFmtId="187" fontId="1" fillId="2" borderId="96" xfId="0" applyNumberFormat="1" applyFont="1" applyFill="1" applyBorder="1" applyAlignment="1">
      <alignment horizontal="right" vertical="center" wrapText="1"/>
    </xf>
    <xf numFmtId="187" fontId="1" fillId="2" borderId="97" xfId="0" applyNumberFormat="1" applyFont="1" applyFill="1" applyBorder="1" applyAlignment="1">
      <alignment horizontal="right" vertical="center" wrapText="1"/>
    </xf>
    <xf numFmtId="187" fontId="1" fillId="2" borderId="97" xfId="9" applyNumberFormat="1" applyFont="1" applyFill="1" applyBorder="1" applyAlignment="1">
      <alignment horizontal="right" vertical="center" wrapText="1"/>
    </xf>
    <xf numFmtId="49" fontId="1" fillId="0" borderId="34" xfId="0" applyNumberFormat="1" applyFont="1" applyFill="1" applyBorder="1" applyAlignment="1">
      <alignment horizontal="left" vertical="center" wrapText="1" indent="1"/>
    </xf>
    <xf numFmtId="187" fontId="1" fillId="0" borderId="95" xfId="0" applyNumberFormat="1" applyFont="1" applyFill="1" applyBorder="1" applyAlignment="1">
      <alignment horizontal="right" vertical="center"/>
    </xf>
    <xf numFmtId="187" fontId="1" fillId="2" borderId="94" xfId="0" applyNumberFormat="1" applyFont="1" applyFill="1" applyBorder="1" applyAlignment="1">
      <alignment horizontal="right" vertical="center" wrapText="1"/>
    </xf>
    <xf numFmtId="187" fontId="1" fillId="2" borderId="95" xfId="0" applyNumberFormat="1" applyFont="1" applyFill="1" applyBorder="1" applyAlignment="1">
      <alignment horizontal="right" vertical="center" wrapText="1"/>
    </xf>
    <xf numFmtId="187" fontId="1" fillId="2" borderId="95" xfId="9" applyNumberFormat="1" applyFont="1" applyFill="1" applyBorder="1" applyAlignment="1">
      <alignment horizontal="right" vertical="center" wrapText="1"/>
    </xf>
    <xf numFmtId="187" fontId="1" fillId="0" borderId="98" xfId="0" applyNumberFormat="1" applyFont="1" applyFill="1" applyBorder="1" applyAlignment="1">
      <alignment vertical="center"/>
    </xf>
    <xf numFmtId="187" fontId="1" fillId="0" borderId="99" xfId="0" applyNumberFormat="1" applyFont="1" applyFill="1" applyBorder="1" applyAlignment="1">
      <alignment vertical="center"/>
    </xf>
    <xf numFmtId="187" fontId="1" fillId="0" borderId="99" xfId="9" applyNumberFormat="1" applyFont="1" applyFill="1" applyBorder="1" applyAlignment="1">
      <alignment vertical="center"/>
    </xf>
    <xf numFmtId="189" fontId="1" fillId="0" borderId="0" xfId="9" applyNumberFormat="1" applyFont="1" applyFill="1" applyAlignment="1">
      <alignment vertical="center"/>
    </xf>
    <xf numFmtId="186" fontId="5" fillId="0" borderId="0" xfId="0" applyNumberFormat="1" applyFont="1" applyFill="1" applyAlignment="1">
      <alignment vertical="center"/>
    </xf>
    <xf numFmtId="189" fontId="5" fillId="0" borderId="0" xfId="9" applyNumberFormat="1" applyFont="1" applyFill="1" applyAlignment="1">
      <alignment vertical="center"/>
    </xf>
    <xf numFmtId="192" fontId="1" fillId="2" borderId="6" xfId="0" applyNumberFormat="1" applyFont="1" applyFill="1" applyBorder="1" applyAlignment="1">
      <alignment horizontal="center" vertical="center" wrapText="1"/>
    </xf>
    <xf numFmtId="186" fontId="1" fillId="2" borderId="100" xfId="0" applyNumberFormat="1" applyFont="1" applyFill="1" applyBorder="1" applyAlignment="1">
      <alignment horizontal="center" vertical="center"/>
    </xf>
    <xf numFmtId="193" fontId="1" fillId="2" borderId="5" xfId="0" applyNumberFormat="1" applyFont="1" applyFill="1" applyBorder="1" applyAlignment="1">
      <alignment horizontal="center" vertical="center" wrapText="1"/>
    </xf>
    <xf numFmtId="193" fontId="1" fillId="2" borderId="6" xfId="0" applyNumberFormat="1" applyFont="1" applyFill="1" applyBorder="1" applyAlignment="1">
      <alignment horizontal="center" vertical="center" wrapText="1"/>
    </xf>
    <xf numFmtId="189" fontId="1" fillId="2" borderId="57" xfId="9" applyNumberFormat="1" applyFont="1" applyFill="1" applyBorder="1" applyAlignment="1">
      <alignment horizontal="center" vertical="center" wrapText="1"/>
    </xf>
    <xf numFmtId="186" fontId="1" fillId="2" borderId="52" xfId="0" applyNumberFormat="1" applyFont="1" applyFill="1" applyBorder="1" applyAlignment="1">
      <alignment horizontal="center" vertical="center" wrapText="1"/>
    </xf>
    <xf numFmtId="187" fontId="1" fillId="0" borderId="101" xfId="0" applyNumberFormat="1" applyFont="1" applyFill="1" applyBorder="1" applyAlignment="1">
      <alignment vertical="center"/>
    </xf>
    <xf numFmtId="187" fontId="1" fillId="0" borderId="101" xfId="9" applyNumberFormat="1" applyFont="1" applyFill="1" applyBorder="1" applyAlignment="1">
      <alignment vertical="center"/>
    </xf>
    <xf numFmtId="187" fontId="1" fillId="0" borderId="95" xfId="0" applyNumberFormat="1" applyFont="1" applyFill="1" applyBorder="1" applyAlignment="1">
      <alignment vertical="center"/>
    </xf>
    <xf numFmtId="187" fontId="1" fillId="2" borderId="97" xfId="0" applyNumberFormat="1" applyFont="1" applyFill="1" applyBorder="1" applyAlignment="1">
      <alignment vertical="center"/>
    </xf>
    <xf numFmtId="187" fontId="1" fillId="0" borderId="93" xfId="0" applyNumberFormat="1" applyFont="1" applyFill="1" applyBorder="1" applyAlignment="1">
      <alignment horizontal="right" vertical="center"/>
    </xf>
    <xf numFmtId="187" fontId="1" fillId="0" borderId="93" xfId="9" applyNumberFormat="1" applyFont="1" applyFill="1" applyBorder="1" applyAlignment="1">
      <alignment horizontal="right" vertical="center"/>
    </xf>
    <xf numFmtId="187" fontId="1" fillId="0" borderId="93" xfId="0" applyNumberFormat="1" applyFont="1" applyFill="1" applyBorder="1" applyAlignment="1">
      <alignment vertical="center"/>
    </xf>
    <xf numFmtId="187" fontId="1" fillId="2" borderId="97" xfId="9" applyNumberFormat="1" applyFont="1" applyFill="1" applyBorder="1" applyAlignment="1">
      <alignment horizontal="right" vertical="center"/>
    </xf>
    <xf numFmtId="187" fontId="1" fillId="2" borderId="97" xfId="0" applyNumberFormat="1" applyFont="1" applyFill="1" applyBorder="1" applyAlignment="1">
      <alignment horizontal="right" vertical="center"/>
    </xf>
    <xf numFmtId="187" fontId="1" fillId="2" borderId="95" xfId="9" applyNumberFormat="1" applyFont="1" applyFill="1" applyBorder="1" applyAlignment="1">
      <alignment horizontal="right" vertical="center"/>
    </xf>
    <xf numFmtId="187" fontId="1" fillId="2" borderId="95" xfId="0" applyNumberFormat="1" applyFont="1" applyFill="1" applyBorder="1" applyAlignment="1">
      <alignment horizontal="right" vertical="center"/>
    </xf>
    <xf numFmtId="187" fontId="1" fillId="2" borderId="95" xfId="0" applyNumberFormat="1" applyFont="1" applyFill="1" applyBorder="1" applyAlignment="1">
      <alignment vertical="center"/>
    </xf>
    <xf numFmtId="193" fontId="1" fillId="0" borderId="0" xfId="0" applyNumberFormat="1" applyFont="1" applyFill="1" applyAlignment="1">
      <alignment vertical="center"/>
    </xf>
    <xf numFmtId="193" fontId="3" fillId="0" borderId="0" xfId="0" applyNumberFormat="1" applyFont="1" applyFill="1" applyAlignment="1">
      <alignment horizontal="right" vertical="center"/>
    </xf>
    <xf numFmtId="189" fontId="3" fillId="0" borderId="0" xfId="9" applyNumberFormat="1" applyFont="1" applyFill="1" applyAlignment="1">
      <alignment horizontal="right" vertical="center"/>
    </xf>
    <xf numFmtId="186" fontId="3" fillId="0" borderId="0" xfId="0" applyNumberFormat="1" applyFont="1" applyFill="1" applyAlignment="1">
      <alignment horizontal="right" vertical="center"/>
    </xf>
    <xf numFmtId="193" fontId="5" fillId="0" borderId="0" xfId="0" applyNumberFormat="1" applyFont="1" applyFill="1" applyAlignment="1">
      <alignment vertical="center"/>
    </xf>
    <xf numFmtId="49" fontId="1" fillId="2" borderId="22" xfId="0" applyNumberFormat="1" applyFont="1" applyFill="1" applyBorder="1" applyAlignment="1">
      <alignment horizontal="center" vertical="center" wrapText="1"/>
    </xf>
    <xf numFmtId="49" fontId="1" fillId="2" borderId="25" xfId="0" applyNumberFormat="1" applyFont="1" applyFill="1" applyBorder="1" applyAlignment="1">
      <alignment horizontal="center" vertical="center" wrapText="1"/>
    </xf>
    <xf numFmtId="187" fontId="1" fillId="0" borderId="102" xfId="0" applyNumberFormat="1" applyFont="1" applyFill="1" applyBorder="1" applyAlignment="1">
      <alignment vertical="center"/>
    </xf>
    <xf numFmtId="187" fontId="1" fillId="0" borderId="103" xfId="0" applyNumberFormat="1" applyFont="1" applyFill="1" applyBorder="1" applyAlignment="1">
      <alignment vertical="center"/>
    </xf>
    <xf numFmtId="187" fontId="1" fillId="2" borderId="104" xfId="0" applyNumberFormat="1" applyFont="1" applyFill="1" applyBorder="1" applyAlignment="1">
      <alignment vertical="center"/>
    </xf>
    <xf numFmtId="187" fontId="1" fillId="0" borderId="105" xfId="0" applyNumberFormat="1" applyFont="1" applyFill="1" applyBorder="1" applyAlignment="1">
      <alignment vertical="center"/>
    </xf>
    <xf numFmtId="187" fontId="1" fillId="2" borderId="103" xfId="0" applyNumberFormat="1" applyFont="1" applyFill="1" applyBorder="1" applyAlignment="1">
      <alignment vertical="center"/>
    </xf>
    <xf numFmtId="187" fontId="1" fillId="0" borderId="106" xfId="0" applyNumberFormat="1" applyFont="1" applyFill="1" applyBorder="1" applyAlignment="1">
      <alignment vertical="center"/>
    </xf>
    <xf numFmtId="186" fontId="0" fillId="0" borderId="0" xfId="0" applyNumberFormat="1" applyFont="1" applyFill="1" applyAlignment="1">
      <alignment vertical="center"/>
    </xf>
    <xf numFmtId="186" fontId="0" fillId="0" borderId="0" xfId="0" applyNumberFormat="1" applyFont="1" applyFill="1" applyBorder="1" applyAlignment="1">
      <alignment horizontal="center" vertical="center"/>
    </xf>
    <xf numFmtId="3" fontId="0" fillId="0" borderId="0" xfId="0" applyNumberFormat="1" applyFont="1" applyFill="1" applyBorder="1" applyAlignment="1">
      <alignment horizontal="center" vertical="center"/>
    </xf>
    <xf numFmtId="3" fontId="0" fillId="0" borderId="0" xfId="0" applyNumberFormat="1" applyFont="1" applyFill="1" applyAlignment="1">
      <alignment vertical="center"/>
    </xf>
    <xf numFmtId="186" fontId="1" fillId="0" borderId="107" xfId="0" applyNumberFormat="1" applyFont="1" applyBorder="1" applyAlignment="1">
      <alignment horizontal="centerContinuous" vertical="center"/>
    </xf>
    <xf numFmtId="186" fontId="1" fillId="0" borderId="108" xfId="0" applyNumberFormat="1" applyFont="1" applyBorder="1" applyAlignment="1">
      <alignment horizontal="center" vertical="center"/>
    </xf>
    <xf numFmtId="3" fontId="1" fillId="0" borderId="108" xfId="0" applyNumberFormat="1" applyFont="1" applyBorder="1" applyAlignment="1">
      <alignment horizontal="center" vertical="center"/>
    </xf>
    <xf numFmtId="186" fontId="3" fillId="0" borderId="109" xfId="0" applyNumberFormat="1" applyFont="1" applyFill="1" applyBorder="1" applyAlignment="1">
      <alignment horizontal="left" vertical="center"/>
    </xf>
    <xf numFmtId="186" fontId="1" fillId="0" borderId="95" xfId="0" applyNumberFormat="1" applyFont="1" applyFill="1" applyBorder="1" applyAlignment="1">
      <alignment horizontal="left" vertical="center"/>
    </xf>
    <xf numFmtId="186" fontId="1" fillId="0" borderId="109" xfId="0" applyNumberFormat="1" applyFont="1" applyFill="1" applyBorder="1" applyAlignment="1">
      <alignment horizontal="left" vertical="center"/>
    </xf>
    <xf numFmtId="187" fontId="1" fillId="0" borderId="95" xfId="0" applyNumberFormat="1" applyFont="1" applyFill="1" applyBorder="1" applyAlignment="1">
      <alignment horizontal="right" vertical="center" shrinkToFit="1"/>
    </xf>
    <xf numFmtId="187" fontId="1" fillId="0" borderId="95" xfId="0" applyNumberFormat="1" applyFont="1" applyFill="1" applyBorder="1" applyAlignment="1">
      <alignment vertical="center" shrinkToFit="1"/>
    </xf>
    <xf numFmtId="0" fontId="11" fillId="0" borderId="95" xfId="11" applyFont="1" applyFill="1" applyBorder="1" applyAlignment="1" applyProtection="1">
      <alignment horizontal="left" vertical="center"/>
    </xf>
    <xf numFmtId="186" fontId="11" fillId="0" borderId="95" xfId="11" applyNumberFormat="1" applyFont="1" applyFill="1" applyBorder="1" applyAlignment="1" applyProtection="1">
      <alignment horizontal="left" vertical="center"/>
    </xf>
    <xf numFmtId="186" fontId="1" fillId="2" borderId="109" xfId="0" applyNumberFormat="1" applyFont="1" applyFill="1" applyBorder="1" applyAlignment="1">
      <alignment horizontal="left" vertical="center"/>
    </xf>
    <xf numFmtId="186" fontId="1" fillId="2" borderId="95" xfId="0" applyNumberFormat="1" applyFont="1" applyFill="1" applyBorder="1" applyAlignment="1">
      <alignment horizontal="left" vertical="center"/>
    </xf>
    <xf numFmtId="187" fontId="1" fillId="2" borderId="95" xfId="0" applyNumberFormat="1" applyFont="1" applyFill="1" applyBorder="1" applyAlignment="1">
      <alignment horizontal="right" vertical="center" shrinkToFit="1"/>
    </xf>
    <xf numFmtId="187" fontId="1" fillId="0" borderId="95" xfId="0" applyNumberFormat="1" applyFont="1" applyFill="1" applyBorder="1" applyAlignment="1">
      <alignment horizontal="center" vertical="center" shrinkToFit="1"/>
    </xf>
    <xf numFmtId="186" fontId="1" fillId="0" borderId="109" xfId="0" applyNumberFormat="1" applyFont="1" applyFill="1" applyBorder="1" applyAlignment="1">
      <alignment vertical="center"/>
    </xf>
    <xf numFmtId="0" fontId="11" fillId="0" borderId="95" xfId="11" applyFont="1" applyFill="1" applyBorder="1" applyAlignment="1" applyProtection="1">
      <alignment vertical="center"/>
    </xf>
    <xf numFmtId="186" fontId="11" fillId="0" borderId="95" xfId="11" applyNumberFormat="1" applyFont="1" applyFill="1" applyBorder="1" applyAlignment="1" applyProtection="1">
      <alignment horizontal="left" vertical="center" wrapText="1"/>
    </xf>
    <xf numFmtId="186" fontId="11" fillId="2" borderId="95" xfId="11" applyNumberFormat="1" applyFont="1" applyFill="1" applyBorder="1" applyAlignment="1" applyProtection="1">
      <alignment horizontal="left" vertical="center"/>
    </xf>
    <xf numFmtId="186" fontId="1" fillId="2" borderId="109" xfId="0" applyNumberFormat="1" applyFont="1" applyFill="1" applyBorder="1" applyAlignment="1">
      <alignment horizontal="center" vertical="center"/>
    </xf>
    <xf numFmtId="186" fontId="1" fillId="0" borderId="109" xfId="0" applyNumberFormat="1" applyFont="1" applyFill="1" applyBorder="1" applyAlignment="1">
      <alignment horizontal="center" vertical="center"/>
    </xf>
    <xf numFmtId="0" fontId="1" fillId="0" borderId="109" xfId="0" applyFont="1" applyFill="1" applyBorder="1" applyAlignment="1">
      <alignment vertical="center" wrapText="1"/>
    </xf>
    <xf numFmtId="186" fontId="1" fillId="0" borderId="109" xfId="0" applyNumberFormat="1" applyFont="1" applyFill="1" applyBorder="1" applyAlignment="1">
      <alignment vertical="center" wrapText="1"/>
    </xf>
    <xf numFmtId="186" fontId="11" fillId="0" borderId="95" xfId="11" applyNumberFormat="1" applyFont="1" applyFill="1" applyBorder="1" applyAlignment="1" applyProtection="1">
      <alignment horizontal="left" vertical="center" wrapText="1" shrinkToFit="1"/>
    </xf>
    <xf numFmtId="186" fontId="1" fillId="2" borderId="109" xfId="0" applyNumberFormat="1" applyFont="1" applyFill="1" applyBorder="1" applyAlignment="1">
      <alignment horizontal="centerContinuous" vertical="center"/>
    </xf>
    <xf numFmtId="186" fontId="3" fillId="0" borderId="109" xfId="0" applyNumberFormat="1" applyFont="1" applyFill="1" applyBorder="1" applyAlignment="1">
      <alignment vertical="center"/>
    </xf>
    <xf numFmtId="186" fontId="3" fillId="0" borderId="110" xfId="0" applyNumberFormat="1" applyFont="1" applyFill="1" applyBorder="1" applyAlignment="1">
      <alignment vertical="center"/>
    </xf>
    <xf numFmtId="186" fontId="1" fillId="0" borderId="99" xfId="0" applyNumberFormat="1" applyFont="1" applyFill="1" applyBorder="1" applyAlignment="1">
      <alignment horizontal="left" vertical="center"/>
    </xf>
    <xf numFmtId="187" fontId="1" fillId="0" borderId="99" xfId="0" applyNumberFormat="1" applyFont="1" applyFill="1" applyBorder="1" applyAlignment="1">
      <alignment horizontal="right" vertical="center" shrinkToFit="1"/>
    </xf>
    <xf numFmtId="4" fontId="0" fillId="0" borderId="0" xfId="0" applyNumberFormat="1" applyFont="1" applyFill="1" applyAlignment="1">
      <alignment vertical="center"/>
    </xf>
    <xf numFmtId="4" fontId="1" fillId="0" borderId="108" xfId="0" applyNumberFormat="1" applyFont="1" applyBorder="1" applyAlignment="1">
      <alignment horizontal="center" vertical="center"/>
    </xf>
    <xf numFmtId="3" fontId="0" fillId="0" borderId="0" xfId="0" applyNumberFormat="1" applyFont="1" applyFill="1" applyAlignment="1">
      <alignment horizontal="right" vertical="center"/>
    </xf>
    <xf numFmtId="3" fontId="1" fillId="0" borderId="111" xfId="0" applyNumberFormat="1" applyFont="1" applyBorder="1" applyAlignment="1">
      <alignment horizontal="center" vertical="center"/>
    </xf>
    <xf numFmtId="187" fontId="1" fillId="0" borderId="103" xfId="0" applyNumberFormat="1" applyFont="1" applyFill="1" applyBorder="1" applyAlignment="1">
      <alignment horizontal="right" vertical="center"/>
    </xf>
    <xf numFmtId="187" fontId="1" fillId="0" borderId="103" xfId="0" applyNumberFormat="1" applyFont="1" applyFill="1" applyBorder="1" applyAlignment="1">
      <alignment horizontal="center" vertical="center" shrinkToFit="1"/>
    </xf>
    <xf numFmtId="187" fontId="1" fillId="0" borderId="103" xfId="0" applyNumberFormat="1" applyFont="1" applyFill="1" applyBorder="1" applyAlignment="1">
      <alignment horizontal="right" vertical="center" shrinkToFit="1"/>
    </xf>
    <xf numFmtId="187" fontId="1" fillId="2" borderId="103" xfId="0" applyNumberFormat="1" applyFont="1" applyFill="1" applyBorder="1" applyAlignment="1">
      <alignment horizontal="right" vertical="center" shrinkToFit="1"/>
    </xf>
    <xf numFmtId="187" fontId="1" fillId="0" borderId="106" xfId="0" applyNumberFormat="1" applyFont="1" applyFill="1" applyBorder="1" applyAlignment="1">
      <alignment horizontal="right" vertical="center" shrinkToFit="1"/>
    </xf>
  </cellXfs>
  <cellStyles count="224">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Input 2" xfId="7"/>
    <cellStyle name="差" xfId="8" builtinId="27"/>
    <cellStyle name="千位分隔" xfId="9" builtinId="3"/>
    <cellStyle name="60% - 强调文字颜色 3" xfId="10" builtinId="40"/>
    <cellStyle name="超链接" xfId="11" builtinId="8"/>
    <cellStyle name="百分比" xfId="12" builtinId="5"/>
    <cellStyle name="已访问的超链接" xfId="13" builtinId="9"/>
    <cellStyle name="_gross profit of main products_eng (2)" xfId="14"/>
    <cellStyle name="注释" xfId="15" builtinId="10"/>
    <cellStyle name="常规 6" xfId="16"/>
    <cellStyle name="Comma_Profit Forecast Memo_Mar 29" xfId="17"/>
    <cellStyle name="标题 4" xfId="18" builtinId="19"/>
    <cellStyle name="Input 21" xfId="19"/>
    <cellStyle name="Input 16" xfId="20"/>
    <cellStyle name="警告文本" xfId="21" builtinId="11"/>
    <cellStyle name="差_2009年经营计划-临安西子公司(3亿)" xfId="22"/>
    <cellStyle name="60% - 强调文字颜色 2" xfId="23" builtinId="36"/>
    <cellStyle name="_Copy of 09060U265b 1_eng (2)" xfId="24"/>
    <cellStyle name="标题" xfId="25" builtinId="15"/>
    <cellStyle name="General 14" xfId="26"/>
    <cellStyle name="解释性文本" xfId="27" builtinId="53"/>
    <cellStyle name="0,0_x000d__x000a_NA_x000d__x000a__三期2011" xfId="28"/>
    <cellStyle name="Column Title" xfId="29"/>
    <cellStyle name="标题 1" xfId="30" builtinId="16"/>
    <cellStyle name="Input 13" xfId="31"/>
    <cellStyle name="标题 2" xfId="32" builtinId="17"/>
    <cellStyle name="Input 14" xfId="33"/>
    <cellStyle name="0,0_x000d__x000a_NA_x000d__x000a_" xfId="34"/>
    <cellStyle name="百分比 6" xfId="35"/>
    <cellStyle name="标题 3" xfId="36" builtinId="18"/>
    <cellStyle name="Input 20" xfId="37"/>
    <cellStyle name="Input 15" xfId="38"/>
    <cellStyle name="60% - 强调文字颜色 1" xfId="39" builtinId="32"/>
    <cellStyle name="60% - 强调文字颜色 4" xfId="40" builtinId="44"/>
    <cellStyle name="输出" xfId="41" builtinId="21"/>
    <cellStyle name="Input" xfId="42"/>
    <cellStyle name="计算" xfId="43" builtinId="22"/>
    <cellStyle name="检查单元格" xfId="44" builtinId="23"/>
    <cellStyle name="20% - 强调文字颜色 6" xfId="45" builtinId="50"/>
    <cellStyle name="General 41" xfId="46"/>
    <cellStyle name="General 36" xfId="47"/>
    <cellStyle name="强调文字颜色 2" xfId="48" builtinId="33"/>
    <cellStyle name="百分比 12" xfId="49"/>
    <cellStyle name="链接单元格" xfId="50" builtinId="24"/>
    <cellStyle name="常规 107 2" xfId="51"/>
    <cellStyle name="汇总" xfId="52" builtinId="25"/>
    <cellStyle name="好" xfId="53" builtinId="26"/>
    <cellStyle name="适中" xfId="54" builtinId="28"/>
    <cellStyle name="20% - 强调文字颜色 5" xfId="55" builtinId="46"/>
    <cellStyle name="General 40" xfId="56"/>
    <cellStyle name="General 35" xfId="57"/>
    <cellStyle name="强调文字颜色 1" xfId="58" builtinId="29"/>
    <cellStyle name="20% - 强调文字颜色 1" xfId="59" builtinId="30"/>
    <cellStyle name="40% - 强调文字颜色 1" xfId="60" builtinId="31"/>
    <cellStyle name="20% - 强调文字颜色 2" xfId="61" builtinId="34"/>
    <cellStyle name="40% - 强调文字颜色 2" xfId="62" builtinId="35"/>
    <cellStyle name="General 42" xfId="63"/>
    <cellStyle name="General 37" xfId="64"/>
    <cellStyle name="强调文字颜色 3" xfId="65" builtinId="37"/>
    <cellStyle name="General 43" xfId="66"/>
    <cellStyle name="General 38" xfId="67"/>
    <cellStyle name="强调文字颜色 4" xfId="68" builtinId="41"/>
    <cellStyle name="20% - 强调文字颜色 4" xfId="69" builtinId="42"/>
    <cellStyle name="Input 3" xfId="70"/>
    <cellStyle name="40% - 强调文字颜色 4" xfId="71" builtinId="43"/>
    <cellStyle name="General 44" xfId="72"/>
    <cellStyle name="General 39" xfId="73"/>
    <cellStyle name="强调文字颜色 5" xfId="74" builtinId="45"/>
    <cellStyle name="Input 4" xfId="75"/>
    <cellStyle name="40% - 强调文字颜色 5" xfId="76" builtinId="47"/>
    <cellStyle name="60% - 强调文字颜色 5" xfId="77" builtinId="48"/>
    <cellStyle name="General 45" xfId="78"/>
    <cellStyle name="强调文字颜色 6" xfId="79" builtinId="49"/>
    <cellStyle name="Input 5" xfId="80"/>
    <cellStyle name="40% - 强调文字颜色 6" xfId="81" builtinId="51"/>
    <cellStyle name="60% - 强调文字颜色 6" xfId="82" builtinId="52"/>
    <cellStyle name="_2323 FAR" xfId="83"/>
    <cellStyle name="Date [mmm-d-yyyy]" xfId="84"/>
    <cellStyle name="Date [mmm-yyyy]" xfId="85"/>
    <cellStyle name="_PRC" xfId="86"/>
    <cellStyle name="Company" xfId="87"/>
    <cellStyle name="千位分隔 3" xfId="88"/>
    <cellStyle name="_2009年经营计划-临安西子公司(3亿)" xfId="89"/>
    <cellStyle name="_PartB_FinaStatements" xfId="90"/>
    <cellStyle name="0,0_x000d__x000a_NA_x000d__x000a_ 2" xfId="91"/>
    <cellStyle name="ColLevel_0" xfId="92"/>
    <cellStyle name="Comma_Sheet1" xfId="93"/>
    <cellStyle name="Date2" xfId="94"/>
    <cellStyle name="General" xfId="95"/>
    <cellStyle name="General 10" xfId="96"/>
    <cellStyle name="General 11" xfId="97"/>
    <cellStyle name="General 12" xfId="98"/>
    <cellStyle name="General 13" xfId="99"/>
    <cellStyle name="General 20" xfId="100"/>
    <cellStyle name="General 15" xfId="101"/>
    <cellStyle name="General 21" xfId="102"/>
    <cellStyle name="General 16" xfId="103"/>
    <cellStyle name="General 22" xfId="104"/>
    <cellStyle name="General 17" xfId="105"/>
    <cellStyle name="General 23" xfId="106"/>
    <cellStyle name="General 18" xfId="107"/>
    <cellStyle name="General 24" xfId="108"/>
    <cellStyle name="General 19" xfId="109"/>
    <cellStyle name="General 2" xfId="110"/>
    <cellStyle name="General 30" xfId="111"/>
    <cellStyle name="General 25" xfId="112"/>
    <cellStyle name="General 31" xfId="113"/>
    <cellStyle name="General 26" xfId="114"/>
    <cellStyle name="General 32" xfId="115"/>
    <cellStyle name="General 27" xfId="116"/>
    <cellStyle name="General 33" xfId="117"/>
    <cellStyle name="General 28" xfId="118"/>
    <cellStyle name="General 34" xfId="119"/>
    <cellStyle name="General 29" xfId="120"/>
    <cellStyle name="General 3" xfId="121"/>
    <cellStyle name="General 4" xfId="122"/>
    <cellStyle name="General 46" xfId="123"/>
    <cellStyle name="General 47" xfId="124"/>
    <cellStyle name="General 5" xfId="125"/>
    <cellStyle name="常规_交通模板预算" xfId="126"/>
    <cellStyle name="General 6" xfId="127"/>
    <cellStyle name="General 7" xfId="128"/>
    <cellStyle name="General 8" xfId="129"/>
    <cellStyle name="样式 1" xfId="130"/>
    <cellStyle name="General 9" xfId="131"/>
    <cellStyle name="Input 10" xfId="132"/>
    <cellStyle name="百分比 2" xfId="133"/>
    <cellStyle name="Input 11" xfId="134"/>
    <cellStyle name="百分比 3" xfId="135"/>
    <cellStyle name="Input 12" xfId="136"/>
    <cellStyle name="百分比 8" xfId="137"/>
    <cellStyle name="Input 22" xfId="138"/>
    <cellStyle name="Input 17" xfId="139"/>
    <cellStyle name="Input 23" xfId="140"/>
    <cellStyle name="Input 18" xfId="141"/>
    <cellStyle name="Input 24" xfId="142"/>
    <cellStyle name="Input 19" xfId="143"/>
    <cellStyle name="Input 30" xfId="144"/>
    <cellStyle name="Input 25" xfId="145"/>
    <cellStyle name="Input 31" xfId="146"/>
    <cellStyle name="Input 26" xfId="147"/>
    <cellStyle name="Input 32" xfId="148"/>
    <cellStyle name="Input 27" xfId="149"/>
    <cellStyle name="Input 33" xfId="150"/>
    <cellStyle name="Input 28" xfId="151"/>
    <cellStyle name="Input 34" xfId="152"/>
    <cellStyle name="Input 29" xfId="153"/>
    <cellStyle name="Input 40" xfId="154"/>
    <cellStyle name="Input 35" xfId="155"/>
    <cellStyle name="Input 41" xfId="156"/>
    <cellStyle name="Input 36" xfId="157"/>
    <cellStyle name="千分位[0]_Sheet1 (2)" xfId="158"/>
    <cellStyle name="Input 42" xfId="159"/>
    <cellStyle name="Input 37" xfId="160"/>
    <cellStyle name="Input 43" xfId="161"/>
    <cellStyle name="Input 38" xfId="162"/>
    <cellStyle name="Input 44" xfId="163"/>
    <cellStyle name="Input 39" xfId="164"/>
    <cellStyle name="Input 45" xfId="165"/>
    <cellStyle name="Input 6" xfId="166"/>
    <cellStyle name="Input 7" xfId="167"/>
    <cellStyle name="Input 8" xfId="168"/>
    <cellStyle name="Input 9" xfId="169"/>
    <cellStyle name="Margin" xfId="170"/>
    <cellStyle name="n" xfId="171"/>
    <cellStyle name="Normal_Dilution_analysis_Ken" xfId="172"/>
    <cellStyle name="Normal_Sheet1" xfId="173"/>
    <cellStyle name="Normal_打印" xfId="174"/>
    <cellStyle name="NormalMultiple" xfId="175"/>
    <cellStyle name="NormalX" xfId="176"/>
    <cellStyle name="常规 2 2" xfId="177"/>
    <cellStyle name="p" xfId="178"/>
    <cellStyle name="Red Font" xfId="179"/>
    <cellStyle name="Profit figure" xfId="180"/>
    <cellStyle name="Tag" xfId="181"/>
    <cellStyle name="百分比 10" xfId="182"/>
    <cellStyle name="百分比 14" xfId="183"/>
    <cellStyle name="百分比 16" xfId="184"/>
    <cellStyle name="百分比 23" xfId="185"/>
    <cellStyle name="百分比 18" xfId="186"/>
    <cellStyle name="百分比 2 2" xfId="187"/>
    <cellStyle name="百分比 20" xfId="188"/>
    <cellStyle name="百分比 22" xfId="189"/>
    <cellStyle name="百分比 24" xfId="190"/>
    <cellStyle name="百分比 25" xfId="191"/>
    <cellStyle name="百分比 26" xfId="192"/>
    <cellStyle name="百分比 27" xfId="193"/>
    <cellStyle name="差_2009年经营计划初稿-临安西子公司081130" xfId="194"/>
    <cellStyle name="常规 107" xfId="195"/>
    <cellStyle name="常规 2" xfId="196"/>
    <cellStyle name="常规 29" xfId="197"/>
    <cellStyle name="常规 3" xfId="198"/>
    <cellStyle name="常规 3 2" xfId="199"/>
    <cellStyle name="常规 4" xfId="200"/>
    <cellStyle name="常规 41" xfId="201"/>
    <cellStyle name="常规 45" xfId="202"/>
    <cellStyle name="常规 5" xfId="203"/>
    <cellStyle name="常规 7" xfId="204"/>
    <cellStyle name="常规_10(商住)快速编制现金流量表2011" xfId="205"/>
    <cellStyle name="常规_101025财务预算表格清单" xfId="206"/>
    <cellStyle name="常规_2011年预算编制用2010年预测表" xfId="207"/>
    <cellStyle name="常规_申请表" xfId="208"/>
    <cellStyle name="超级链接" xfId="209"/>
    <cellStyle name="超链接 2" xfId="210"/>
    <cellStyle name="好_2009年经营计划初稿-临安西子公司081130" xfId="211"/>
    <cellStyle name="好_2009年经营计划-临安西子公司(3亿)" xfId="212"/>
    <cellStyle name="后继超级链接" xfId="213"/>
    <cellStyle name="货币 2" xfId="214"/>
    <cellStyle name="千分位_Sheet1 (2)" xfId="215"/>
    <cellStyle name="千位分隔 3 2" xfId="216"/>
    <cellStyle name="千位分隔 10" xfId="217"/>
    <cellStyle name="千位分隔 13" xfId="218"/>
    <cellStyle name="千位分隔 2" xfId="219"/>
    <cellStyle name="千位分隔 41" xfId="220"/>
    <cellStyle name="千位分隔 42" xfId="221"/>
    <cellStyle name="千位分隔 43" xfId="222"/>
    <cellStyle name="一般_99-12-31" xfId="223"/>
  </cellStyles>
  <dxfs count="1">
    <dxf>
      <font>
        <color rgb="FF9C0006"/>
      </font>
      <fill>
        <patternFill patternType="solid">
          <bgColor rgb="FFFFC7CE"/>
        </patternFill>
      </fill>
    </dxf>
  </dxfs>
  <tableStyles count="0" defaultTableStyle="TableStyleMedium2" defaultPivotStyle="PivotStyleLight16"/>
  <colors>
    <mruColors>
      <color rgb="000000FF"/>
      <color rgb="0099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3" Type="http://schemas.openxmlformats.org/officeDocument/2006/relationships/sharedStrings" Target="sharedStrings.xml"/><Relationship Id="rId22" Type="http://schemas.openxmlformats.org/officeDocument/2006/relationships/styles" Target="styles.xml"/><Relationship Id="rId21" Type="http://schemas.openxmlformats.org/officeDocument/2006/relationships/theme" Target="theme/theme1.xml"/><Relationship Id="rId20" Type="http://schemas.openxmlformats.org/officeDocument/2006/relationships/externalLink" Target="externalLinks/externalLink11.xml"/><Relationship Id="rId2" Type="http://schemas.openxmlformats.org/officeDocument/2006/relationships/worksheet" Target="worksheets/sheet2.xml"/><Relationship Id="rId19" Type="http://schemas.openxmlformats.org/officeDocument/2006/relationships/externalLink" Target="externalLinks/externalLink10.xml"/><Relationship Id="rId18" Type="http://schemas.openxmlformats.org/officeDocument/2006/relationships/externalLink" Target="externalLinks/externalLink9.xml"/><Relationship Id="rId17" Type="http://schemas.openxmlformats.org/officeDocument/2006/relationships/externalLink" Target="externalLinks/externalLink8.xml"/><Relationship Id="rId16" Type="http://schemas.openxmlformats.org/officeDocument/2006/relationships/externalLink" Target="externalLinks/externalLink7.xml"/><Relationship Id="rId15" Type="http://schemas.openxmlformats.org/officeDocument/2006/relationships/externalLink" Target="externalLinks/externalLink6.xml"/><Relationship Id="rId14" Type="http://schemas.openxmlformats.org/officeDocument/2006/relationships/externalLink" Target="externalLinks/externalLink5.xml"/><Relationship Id="rId13" Type="http://schemas.openxmlformats.org/officeDocument/2006/relationships/externalLink" Target="externalLinks/externalLink4.xml"/><Relationship Id="rId12" Type="http://schemas.openxmlformats.org/officeDocument/2006/relationships/externalLink" Target="externalLinks/externalLink3.xml"/><Relationship Id="rId11" Type="http://schemas.openxmlformats.org/officeDocument/2006/relationships/externalLink" Target="externalLinks/externalLink2.xml"/><Relationship Id="rId10" Type="http://schemas.openxmlformats.org/officeDocument/2006/relationships/externalLink" Target="externalLinks/externalLink1.xml"/><Relationship Id="rId1" Type="http://schemas.openxmlformats.org/officeDocument/2006/relationships/worksheet" Target="worksheets/sheet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M:\AMY\SIMON\ASIA.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M:\DBASE\STATS\FISCBAL.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39044;&#31639;&#30456;&#20851;&#36164;&#26009;\&#19990;&#32426;&#22478;\&#21508;&#39033;&#30446;&#21033;&#28070;&#26680;&#23545;\&#22791;&#26597;\&#21508;&#39033;&#30446;&#21033;&#28070;&#26680;&#23545;\&#22791;&#26597;\Detail-4.28.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Documents%20and%20Settings\yuecha\Local%20Settings\Temp\Documentum\Viewed\11599877692132173\Copy_of_09060U265_eng.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Documents%20and%20Settings\leungwi\Desktop\Copy%20of%2010060V783A.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Documents%20and%20Settings\xiaoshou\Local%20Settings\Temporary%20Internet%20Files\Content.IE5\C927GTE3\&#19978;&#24066;&#30408;&#21033;&#39044;&#27979;\JP&#27169;&#22411;\Greentown_model&#32838;&#35759;&#21518;.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19978;&#24066;&#30408;&#21033;&#39044;&#27979;\JP&#27169;&#22411;\Greentown_model&#32838;&#35759;&#21518;.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25104;&#26412;&#39044;&#31639;\&#20854;&#20182;&#36153;&#29992;&#28165;&#21333;(&#22303;&#24314;)1.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39044;&#31639;&#30456;&#20851;&#36164;&#26009;\&#19990;&#32426;&#22478;\&#21508;&#39033;&#30446;&#21033;&#28070;&#26680;&#23545;\&#22791;&#26597;\&#21508;&#39033;&#30446;&#21033;&#28070;&#26680;&#23545;\&#22791;&#26597;\Greentown%20Model-0403.xlsx"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data\U388725\Projects\Project%20Westlake\IPO\presentation%20to%20RE%20team.xls"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1&#12289;&#24037;&#20316;&#25991;&#26723;\3&#12289;WPS\1&#12289;&#24037;&#20316;&#25991;&#20214;&#22841;\3&#12289;ET&#34920;&#26684;\1&#12289;&#20135;&#21697;&#26041;&#26696;\4&#12289;&#26412;&#22320;&#27169;&#26495;\&#22871;&#34920;\&#36153;&#29992;&#39044;&#31639;.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RGDP"/>
      <sheetName val="ASIA"/>
    </sheetNames>
    <sheetDataSet>
      <sheetData sheetId="0" refreshError="1"/>
      <sheetData sheetId="1"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HKBUD"/>
      <sheetName val="FISCBAL"/>
    </sheetNames>
    <sheetDataSet>
      <sheetData sheetId="0" refreshError="1"/>
      <sheetData sheetId="1" refreshError="1"/>
    </sheetDataSet>
  </externalBook>
</externalLink>
</file>

<file path=xl/externalLinks/externalLink3.xml><?xml version="1.0" encoding="utf-8"?>
<externalLink xmlns="http://schemas.openxmlformats.org/spreadsheetml/2006/main">
  <externalBook xmlns:r="http://schemas.openxmlformats.org/officeDocument/2006/relationships" r:id="rId1">
    <sheetNames>
      <sheetName val="预计利润表－项目核对"/>
      <sheetName val="Setting"/>
      <sheetName val="Global"/>
      <sheetName val="Detail"/>
      <sheetName val="Consolidate"/>
      <sheetName val="output"/>
      <sheetName val="2009"/>
      <sheetName val="2010"/>
      <sheetName val="Summary"/>
      <sheetName val="GFA"/>
      <sheetName val="Control"/>
      <sheetName val="Bank Debt"/>
      <sheetName val="New Report"/>
      <sheetName val="Financial statements"/>
      <sheetName val="Hotel input"/>
      <sheetName val="Cash to JV"/>
      <sheetName val="Ratio output"/>
      <sheetName val="Roadshow presentation"/>
      <sheetName val="Invest CF"/>
      <sheetName val="Credit credential"/>
      <sheetName val="Forecast panel (2009)"/>
      <sheetName val="Forecast panel (2010)"/>
      <sheetName val="Forecast panel (2011)"/>
      <sheetName val="Forecast panel (2012)"/>
      <sheetName val="Forecast panel (2013)"/>
      <sheetName val="Holdco"/>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Set>
  </externalBook>
</externalLink>
</file>

<file path=xl/externalLinks/externalLink4.xml><?xml version="1.0" encoding="utf-8"?>
<externalLink xmlns="http://schemas.openxmlformats.org/spreadsheetml/2006/main">
  <externalBook xmlns:r="http://schemas.openxmlformats.org/officeDocument/2006/relationships" r:id="rId1">
    <sheetNames>
      <sheetName val="中国宏观经济强劲"/>
      <sheetName val="高增长高利润的经营业绩 (2)"/>
      <sheetName val="收入基础多元化"/>
      <sheetName val="2006年宏观调控对绿城的影响"/>
      <sheetName val="new1"/>
      <sheetName val="Revenue"/>
      <sheetName val="Excellent"/>
      <sheetName val="breakdown"/>
      <sheetName val="GFA"/>
      <sheetName val="Site"/>
      <sheetName val="主要房地产市场发展趋势—北京"/>
      <sheetName val="主要房地产市场发展趋势—上海"/>
      <sheetName val="主要房地产市场发展趋势—浙江"/>
      <sheetName val="主要房地产市场发展趋势—杭州"/>
      <sheetName val="高增长高利润的经营业绩"/>
      <sheetName val="多元化高质量的土地储备"/>
      <sheetName val="05年预售率"/>
      <sheetName val="average price"/>
      <sheetName val="Sheet1"/>
      <sheetName val="Sheet3"/>
      <sheetName val="Sheet2"/>
      <sheetName val="Sheet4"/>
    </sheetNames>
    <sheetDataSet>
      <sheetData sheetId="0" refreshError="1"/>
      <sheetData sheetId="1" refreshError="1"/>
      <sheetData sheetId="2" refreshError="1"/>
      <sheetData sheetId="3"/>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sheetData sheetId="17"/>
      <sheetData sheetId="18" refreshError="1"/>
      <sheetData sheetId="19" refreshError="1"/>
      <sheetData sheetId="20" refreshError="1"/>
      <sheetData sheetId="21" refreshError="1"/>
    </sheetDataSet>
  </externalBook>
</externalLink>
</file>

<file path=xl/externalLinks/externalLink5.xml><?xml version="1.0" encoding="utf-8"?>
<externalLink xmlns="http://schemas.openxmlformats.org/spreadsheetml/2006/main">
  <externalBook xmlns:r="http://schemas.openxmlformats.org/officeDocument/2006/relationships" r:id="rId1">
    <sheetNames>
      <sheetName val="balance sheet"/>
      <sheetName val="resource"/>
      <sheetName val="Geographical breakdown"/>
      <sheetName val="PRC"/>
      <sheetName val="DD &amp; SS"/>
      <sheetName val="price vs GDP"/>
      <sheetName val="house price growth"/>
      <sheetName val="Disposable income"/>
      <sheetName val="hangzhou2"/>
      <sheetName val="hangzhou"/>
      <sheetName val="guangdong "/>
      <sheetName val="Anhui"/>
      <sheetName val="Hunan"/>
      <sheetName val="Jiangsu"/>
      <sheetName val="Shandong"/>
      <sheetName val="GDP"/>
      <sheetName val="1998"/>
      <sheetName val="1999"/>
      <sheetName val="2000"/>
      <sheetName val="2001"/>
      <sheetName val="2002"/>
      <sheetName val="2003"/>
      <sheetName val="2004"/>
      <sheetName val="Sheet1 (3)"/>
      <sheetName val="Sheet2"/>
      <sheetName val="company operations"/>
      <sheetName val="Sheet1"/>
      <sheetName val="Revenue"/>
      <sheetName val="graph"/>
      <sheetName val="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Set>
  </externalBook>
</externalLink>
</file>

<file path=xl/externalLinks/externalLink6.xml><?xml version="1.0" encoding="utf-8"?>
<externalLink xmlns="http://schemas.openxmlformats.org/spreadsheetml/2006/main">
  <externalBook xmlns:r="http://schemas.openxmlformats.org/officeDocument/2006/relationships" r:id="rId1">
    <sheetNames>
      <sheetName val="Financial highlight"/>
      <sheetName val="Dilution_analysis"/>
      <sheetName val="Price_assumptions"/>
      <sheetName val="Financial highligts"/>
      <sheetName val="Profits analysis"/>
      <sheetName val="Valuation analysis"/>
      <sheetName val="Comparables analysis"/>
      <sheetName val="Contribution projects"/>
      <sheetName val="Critical issues"/>
      <sheetName val="Yearly"/>
      <sheetName val="Setting"/>
      <sheetName val="Global"/>
      <sheetName val="Mgt_Assumption_Summary"/>
      <sheetName val="Chinese Summary"/>
      <sheetName val="06 deli projects"/>
      <sheetName val="DTT"/>
      <sheetName val="Summary"/>
      <sheetName val="Discount rate control"/>
      <sheetName val="Control"/>
      <sheetName val="GFA"/>
      <sheetName val="output"/>
      <sheetName val="Consolidate"/>
      <sheetName val="Holdco"/>
      <sheetName val="Bank Debt"/>
      <sheetName val="P1"/>
      <sheetName val="P2"/>
      <sheetName val="P3"/>
      <sheetName val="P4"/>
      <sheetName val="P5"/>
      <sheetName val="P6"/>
      <sheetName val="P7"/>
      <sheetName val="P8"/>
      <sheetName val="P9"/>
      <sheetName val="P10"/>
      <sheetName val="P11"/>
      <sheetName val="P12"/>
      <sheetName val="P13"/>
      <sheetName val="P14"/>
      <sheetName val="P15"/>
      <sheetName val="P16"/>
      <sheetName val="P17"/>
      <sheetName val="P18"/>
      <sheetName val="P19"/>
      <sheetName val="P20"/>
      <sheetName val="P21"/>
      <sheetName val="P22"/>
      <sheetName val="P23"/>
      <sheetName val="P24"/>
      <sheetName val="P25"/>
      <sheetName val="P26"/>
      <sheetName val="P27"/>
      <sheetName val="P28"/>
      <sheetName val="P29"/>
      <sheetName val="P30"/>
      <sheetName val="P31"/>
      <sheetName val="P32"/>
      <sheetName val="P33"/>
      <sheetName val="P34"/>
      <sheetName val="P35"/>
      <sheetName val="P36"/>
      <sheetName val="P37"/>
      <sheetName val="P38"/>
      <sheetName val="P39"/>
      <sheetName val="P40"/>
      <sheetName val="P41"/>
      <sheetName val="P42"/>
      <sheetName val="P43"/>
      <sheetName val="P44"/>
      <sheetName val="P45"/>
      <sheetName val="P46"/>
      <sheetName val="P47"/>
      <sheetName val="P48"/>
      <sheetName val="P49"/>
      <sheetName val="P50"/>
      <sheetName val="P51"/>
      <sheetName val="P52"/>
      <sheetName val="P53"/>
      <sheetName val="P54"/>
      <sheetName val="P55"/>
      <sheetName val="P56"/>
      <sheetName val="P57"/>
      <sheetName val="P58"/>
      <sheetName val="P59"/>
      <sheetName val="P60"/>
      <sheetName val="P99"/>
      <sheetName val="P100"/>
      <sheetName val="P101"/>
      <sheetName val="P102"/>
      <sheetName val="P103"/>
      <sheetName val="P104"/>
      <sheetName val="P105"/>
      <sheetName val="P106"/>
      <sheetName val="P107"/>
      <sheetName val="P108"/>
      <sheetName val="P109"/>
      <sheetName val="P110"/>
      <sheetName val="P111"/>
      <sheetName val="P112"/>
      <sheetName val="P113"/>
      <sheetName val="P114"/>
      <sheetName val="P115"/>
      <sheetName val="P116"/>
      <sheetName val="P117"/>
      <sheetName val="P118"/>
      <sheetName val="P119"/>
      <sheetName val="P120"/>
      <sheetName val="P121"/>
      <sheetName val="P122"/>
      <sheetName val="P123"/>
      <sheetName val="P124"/>
      <sheetName val="P125"/>
      <sheetName val="P126"/>
      <sheetName val="P200"/>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sheetData sheetId="11" refreshError="1"/>
      <sheetData sheetId="12" refreshError="1"/>
      <sheetData sheetId="13" refreshError="1"/>
      <sheetData sheetId="14" refreshError="1"/>
      <sheetData sheetId="15" refreshError="1"/>
      <sheetData sheetId="16" refreshError="1"/>
      <sheetData sheetId="17" refreshError="1"/>
      <sheetData sheetId="18"/>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Set>
  </externalBook>
</externalLink>
</file>

<file path=xl/externalLinks/externalLink7.xml><?xml version="1.0" encoding="utf-8"?>
<externalLink xmlns="http://schemas.openxmlformats.org/spreadsheetml/2006/main">
  <externalBook xmlns:r="http://schemas.openxmlformats.org/officeDocument/2006/relationships" r:id="rId1">
    <sheetNames>
      <sheetName val="Financial highlight"/>
      <sheetName val="Dilution_analysis"/>
      <sheetName val="Price_assumptions"/>
      <sheetName val="Financial highligts"/>
      <sheetName val="Profits analysis"/>
      <sheetName val="Valuation analysis"/>
      <sheetName val="Comparables analysis"/>
      <sheetName val="Contribution projects"/>
      <sheetName val="Critical issues"/>
      <sheetName val="Yearly"/>
      <sheetName val="Setting"/>
      <sheetName val="Global"/>
      <sheetName val="Mgt_Assumption_Summary"/>
      <sheetName val="Chinese Summary"/>
      <sheetName val="06 deli projects"/>
      <sheetName val="DTT"/>
      <sheetName val="Summary"/>
      <sheetName val="Discount rate control"/>
      <sheetName val="Control"/>
      <sheetName val="GFA"/>
      <sheetName val="output"/>
      <sheetName val="Consolidate"/>
      <sheetName val="Holdco"/>
      <sheetName val="Bank Debt"/>
      <sheetName val="P1"/>
      <sheetName val="P2"/>
      <sheetName val="P3"/>
      <sheetName val="P4"/>
      <sheetName val="P5"/>
      <sheetName val="P6"/>
      <sheetName val="P7"/>
      <sheetName val="P8"/>
      <sheetName val="P9"/>
      <sheetName val="P10"/>
      <sheetName val="P11"/>
      <sheetName val="P12"/>
      <sheetName val="P13"/>
      <sheetName val="P14"/>
      <sheetName val="P15"/>
      <sheetName val="P16"/>
      <sheetName val="P17"/>
      <sheetName val="P18"/>
      <sheetName val="P19"/>
      <sheetName val="P20"/>
      <sheetName val="P21"/>
      <sheetName val="P22"/>
      <sheetName val="P23"/>
      <sheetName val="P24"/>
      <sheetName val="P25"/>
      <sheetName val="P26"/>
      <sheetName val="P27"/>
      <sheetName val="P28"/>
      <sheetName val="P29"/>
      <sheetName val="P30"/>
      <sheetName val="P31"/>
      <sheetName val="P32"/>
      <sheetName val="P33"/>
      <sheetName val="P34"/>
      <sheetName val="P35"/>
      <sheetName val="P36"/>
      <sheetName val="P37"/>
      <sheetName val="P38"/>
      <sheetName val="P39"/>
      <sheetName val="P40"/>
      <sheetName val="P41"/>
      <sheetName val="P42"/>
      <sheetName val="P43"/>
      <sheetName val="P44"/>
      <sheetName val="P45"/>
      <sheetName val="P46"/>
      <sheetName val="P47"/>
      <sheetName val="P48"/>
      <sheetName val="P49"/>
      <sheetName val="P50"/>
      <sheetName val="P51"/>
      <sheetName val="P52"/>
      <sheetName val="P53"/>
      <sheetName val="P54"/>
      <sheetName val="P55"/>
      <sheetName val="P56"/>
      <sheetName val="P57"/>
      <sheetName val="P58"/>
      <sheetName val="P59"/>
      <sheetName val="P60"/>
      <sheetName val="P99"/>
      <sheetName val="P100"/>
      <sheetName val="P101"/>
      <sheetName val="P102"/>
      <sheetName val="P103"/>
      <sheetName val="P104"/>
      <sheetName val="P105"/>
      <sheetName val="P106"/>
      <sheetName val="P107"/>
      <sheetName val="P108"/>
      <sheetName val="P109"/>
      <sheetName val="P110"/>
      <sheetName val="P111"/>
      <sheetName val="P112"/>
      <sheetName val="P113"/>
      <sheetName val="P114"/>
      <sheetName val="P115"/>
      <sheetName val="P116"/>
      <sheetName val="P117"/>
      <sheetName val="P118"/>
      <sheetName val="P119"/>
      <sheetName val="P120"/>
      <sheetName val="P121"/>
      <sheetName val="P122"/>
      <sheetName val="P123"/>
      <sheetName val="P124"/>
      <sheetName val="P125"/>
      <sheetName val="P126"/>
      <sheetName val="P200"/>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sheetData sheetId="11" refreshError="1"/>
      <sheetData sheetId="12" refreshError="1"/>
      <sheetData sheetId="13" refreshError="1"/>
      <sheetData sheetId="14" refreshError="1"/>
      <sheetData sheetId="15" refreshError="1"/>
      <sheetData sheetId="16" refreshError="1"/>
      <sheetData sheetId="17" refreshError="1"/>
      <sheetData sheetId="18"/>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Set>
  </externalBook>
</externalLink>
</file>

<file path=xl/externalLinks/externalLink8.xml><?xml version="1.0" encoding="utf-8"?>
<externalLink xmlns="http://schemas.openxmlformats.org/spreadsheetml/2006/main">
  <externalBook xmlns:r="http://schemas.openxmlformats.org/officeDocument/2006/relationships" r:id="rId1">
    <sheetNames>
      <sheetName val="G2TempSheet"/>
      <sheetName val="Sheet1"/>
    </sheetNames>
    <sheetDataSet>
      <sheetData sheetId="0"/>
      <sheetData sheetId="1"/>
    </sheetDataSet>
  </externalBook>
</externalLink>
</file>

<file path=xl/externalLinks/externalLink9.xml><?xml version="1.0" encoding="utf-8"?>
<externalLink xmlns="http://schemas.openxmlformats.org/spreadsheetml/2006/main">
  <externalBook xmlns:r="http://schemas.openxmlformats.org/officeDocument/2006/relationships" r:id="rId1">
    <sheetNames>
      <sheetName val="Financial highlight"/>
      <sheetName val="Dilution_analysis"/>
      <sheetName val="Price_assumptions"/>
      <sheetName val="Financial highligts"/>
      <sheetName val="Profits analysis"/>
      <sheetName val="Valuation analysis"/>
      <sheetName val="Comparables analysis"/>
      <sheetName val="Contribution projects"/>
      <sheetName val="Critical issues"/>
      <sheetName val="Yearly"/>
      <sheetName val="Setting"/>
      <sheetName val="Global"/>
      <sheetName val="Detail"/>
      <sheetName val="Consolidate"/>
      <sheetName val="output"/>
      <sheetName val="2009"/>
      <sheetName val="2010"/>
      <sheetName val="Summary"/>
      <sheetName val="GFA"/>
      <sheetName val="Control"/>
      <sheetName val="Bank Debt"/>
      <sheetName val="New Report"/>
      <sheetName val="Financial statements"/>
      <sheetName val="Hotel input"/>
      <sheetName val="Cash to JV"/>
      <sheetName val="Ratio output"/>
      <sheetName val="Roadshow presentation"/>
      <sheetName val="Invest CF"/>
      <sheetName val="Credit credential"/>
      <sheetName val="Mgt_Assumption_Summary"/>
      <sheetName val="Chinese Summary"/>
      <sheetName val="Forecast panel (2009)"/>
      <sheetName val="Forecast panel (2010)"/>
      <sheetName val="Forecast panel (2011)"/>
      <sheetName val="Forecast panel (2012)"/>
      <sheetName val="Forecast panel (2013)"/>
      <sheetName val="Holdco"/>
      <sheetName val="P1"/>
      <sheetName val="P2"/>
      <sheetName val="P3"/>
      <sheetName val="P4"/>
      <sheetName val="P5"/>
      <sheetName val="P6"/>
      <sheetName val="P7"/>
      <sheetName val="P8"/>
      <sheetName val="P9"/>
      <sheetName val="P10"/>
      <sheetName val="P11"/>
      <sheetName val="P12"/>
      <sheetName val="P13"/>
      <sheetName val="P14"/>
      <sheetName val="P15"/>
      <sheetName val="P16"/>
      <sheetName val="P17"/>
      <sheetName val="P18"/>
      <sheetName val="P19"/>
      <sheetName val="P20"/>
      <sheetName val="P21"/>
      <sheetName val="P22"/>
      <sheetName val="P23"/>
      <sheetName val="P24"/>
      <sheetName val="P25"/>
      <sheetName val="P26"/>
      <sheetName val="P27"/>
      <sheetName val="P28"/>
      <sheetName val="P29"/>
      <sheetName val="P30"/>
      <sheetName val="P31"/>
      <sheetName val="P32"/>
      <sheetName val="P33"/>
      <sheetName val="P34"/>
      <sheetName val="P35"/>
      <sheetName val="P36"/>
      <sheetName val="P37"/>
      <sheetName val="P38"/>
      <sheetName val="P39"/>
      <sheetName val="P40"/>
      <sheetName val="P41"/>
      <sheetName val="P42"/>
      <sheetName val="P43"/>
      <sheetName val="P44"/>
      <sheetName val="P45"/>
      <sheetName val="P46"/>
      <sheetName val="P47"/>
      <sheetName val="P48"/>
      <sheetName val="P49"/>
      <sheetName val="P50"/>
      <sheetName val="P51"/>
      <sheetName val="P52"/>
      <sheetName val="P53"/>
      <sheetName val="P54"/>
      <sheetName val="P55"/>
      <sheetName val="P56"/>
      <sheetName val="P57"/>
      <sheetName val="P58"/>
      <sheetName val="P59"/>
      <sheetName val="P60"/>
      <sheetName val="P61"/>
      <sheetName val="P62"/>
      <sheetName val="P63"/>
      <sheetName val="P64"/>
      <sheetName val="P65"/>
      <sheetName val="P66"/>
      <sheetName val="P67"/>
      <sheetName val="P68"/>
      <sheetName val="P69"/>
      <sheetName val="P70"/>
      <sheetName val="P71"/>
      <sheetName val="P72"/>
      <sheetName val="P73"/>
      <sheetName val="P74"/>
      <sheetName val="P75"/>
      <sheetName val="P76"/>
      <sheetName val="P77"/>
      <sheetName val="P78"/>
      <sheetName val="P79"/>
      <sheetName val="P80"/>
      <sheetName val="P81"/>
      <sheetName val="P82"/>
      <sheetName val="P83"/>
      <sheetName val="P84"/>
      <sheetName val="P85"/>
      <sheetName val="P86"/>
      <sheetName val="P87"/>
      <sheetName val="P88"/>
      <sheetName val="P89"/>
      <sheetName val="P90"/>
      <sheetName val="P91"/>
      <sheetName val="P92"/>
      <sheetName val="P93"/>
      <sheetName val="P94"/>
      <sheetName val="P95"/>
      <sheetName val="P96"/>
      <sheetName val="P97"/>
      <sheetName val="P98"/>
      <sheetName val="P99"/>
      <sheetName val="P100"/>
      <sheetName val="P101"/>
      <sheetName val="P102"/>
      <sheetName val="P103"/>
      <sheetName val="P104"/>
      <sheetName val="P105"/>
      <sheetName val="P106"/>
      <sheetName val="P107"/>
      <sheetName val="P108"/>
      <sheetName val="P109"/>
      <sheetName val="P110"/>
      <sheetName val="P111"/>
      <sheetName val="P112"/>
      <sheetName val="P113"/>
      <sheetName val="P114"/>
      <sheetName val="P115"/>
      <sheetName val="P116"/>
      <sheetName val="P117"/>
      <sheetName val="P118"/>
      <sheetName val="P119"/>
      <sheetName val="P120"/>
      <sheetName val="P121"/>
      <sheetName val="P122"/>
      <sheetName val="P123"/>
      <sheetName val="P124"/>
      <sheetName val="P125"/>
      <sheetName val="P126"/>
      <sheetName val="P127"/>
      <sheetName val="P128"/>
      <sheetName val="P129"/>
      <sheetName val="P130"/>
      <sheetName val="P131"/>
      <sheetName val="P132"/>
      <sheetName val="P133"/>
      <sheetName val="P134"/>
      <sheetName val="P135"/>
      <sheetName val="P136"/>
      <sheetName val="P137"/>
      <sheetName val="P138"/>
      <sheetName val="P139"/>
      <sheetName val="P140"/>
      <sheetName val="P141"/>
      <sheetName val="P142"/>
      <sheetName val="P143"/>
      <sheetName val="P144"/>
      <sheetName val="P145"/>
      <sheetName val="P146"/>
      <sheetName val="P147"/>
      <sheetName val="P148"/>
      <sheetName val="P149"/>
      <sheetName val="P150"/>
      <sheetName val="P151"/>
      <sheetName val="P152"/>
      <sheetName val="P153"/>
      <sheetName val="P154"/>
      <sheetName val="P155"/>
      <sheetName val="P156"/>
      <sheetName val="P157"/>
      <sheetName val="P158"/>
      <sheetName val="P159"/>
      <sheetName val="P160"/>
      <sheetName val="P161"/>
      <sheetName val="P162"/>
      <sheetName val="P163"/>
      <sheetName val="P164"/>
      <sheetName val="P165"/>
      <sheetName val="P166"/>
      <sheetName val="P167"/>
      <sheetName val="P168"/>
      <sheetName val="P169"/>
      <sheetName val="P170"/>
      <sheetName val="P171"/>
      <sheetName val="P172"/>
      <sheetName val="P173"/>
      <sheetName val="P174"/>
      <sheetName val="P175"/>
      <sheetName val="P176"/>
      <sheetName val="P177"/>
      <sheetName val="P178"/>
      <sheetName val="P179"/>
      <sheetName val="P180"/>
      <sheetName val="P2009"/>
      <sheetName val="P2010"/>
      <sheetName val="P2011"/>
      <sheetName val="P2012"/>
      <sheetName val="P2013"/>
      <sheetName val="P199"/>
      <sheetName val="P200"/>
      <sheetName val="P201"/>
      <sheetName val="P202"/>
      <sheetName val="P203"/>
      <sheetName val="P204"/>
      <sheetName val="P205"/>
      <sheetName val="P206"/>
      <sheetName val="P207"/>
      <sheetName val="P208"/>
      <sheetName val="P209"/>
      <sheetName val="P210"/>
      <sheetName val="P211"/>
      <sheetName val="P212"/>
      <sheetName val="P213"/>
      <sheetName val="P214"/>
      <sheetName val="P215"/>
      <sheetName val="P216"/>
      <sheetName val="P217"/>
      <sheetName val="P218"/>
      <sheetName val="P219"/>
      <sheetName val="P220"/>
      <sheetName val="P221"/>
      <sheetName val="P222"/>
      <sheetName val="P223"/>
      <sheetName val="P224"/>
      <sheetName val="P225"/>
      <sheetName val="P226"/>
      <sheetName val="P227"/>
      <sheetName val="P228"/>
      <sheetName val="P229"/>
      <sheetName val="P230"/>
      <sheetName val="P231"/>
      <sheetName val="P232"/>
      <sheetName val="P233"/>
      <sheetName val="P234"/>
      <sheetName val="P235"/>
      <sheetName val="P236"/>
      <sheetName val="P237"/>
      <sheetName val="P238"/>
      <sheetName val="P239"/>
      <sheetName val="P240"/>
      <sheetName val="P241"/>
      <sheetName val="P242"/>
      <sheetName val="P243"/>
      <sheetName val="P244"/>
      <sheetName val="P245"/>
      <sheetName val="P246"/>
      <sheetName val="P247"/>
      <sheetName val="P248"/>
      <sheetName val="P249"/>
      <sheetName val="P250"/>
      <sheetName val="P251"/>
      <sheetName val="P252"/>
      <sheetName val="P253"/>
      <sheetName val="P254"/>
      <sheetName val="P255"/>
      <sheetName val="P256"/>
      <sheetName val="P257"/>
      <sheetName val="P258"/>
      <sheetName val="P259"/>
      <sheetName val="P260"/>
      <sheetName val="P261"/>
      <sheetName val="P262"/>
      <sheetName val="P263"/>
      <sheetName val="P264"/>
      <sheetName val="P265"/>
      <sheetName val="P266"/>
      <sheetName val="P267"/>
      <sheetName val="P268"/>
      <sheetName val="P269"/>
      <sheetName val="P270"/>
      <sheetName val="P271"/>
      <sheetName val="P272"/>
      <sheetName val="P273"/>
      <sheetName val="P274"/>
      <sheetName val="P275"/>
      <sheetName val="P276"/>
      <sheetName val="P277"/>
      <sheetName val="P278"/>
      <sheetName val="P279"/>
      <sheetName val="P280"/>
      <sheetName val="P281"/>
      <sheetName val="P282"/>
      <sheetName val="P283"/>
      <sheetName val="P284"/>
      <sheetName val="P285"/>
      <sheetName val="P286"/>
      <sheetName val="P287"/>
      <sheetName val="P288"/>
      <sheetName val="P289"/>
      <sheetName val="P290"/>
      <sheetName val="P291"/>
      <sheetName val="P292"/>
      <sheetName val="P293"/>
      <sheetName val="P294"/>
      <sheetName val="P295"/>
      <sheetName val="P296"/>
      <sheetName val="P297"/>
      <sheetName val="P298"/>
      <sheetName val="P299"/>
      <sheetName val="P300"/>
      <sheetName val="P400"/>
    </sheetNames>
    <sheetDataSet>
      <sheetData sheetId="0" refreshError="1"/>
      <sheetData sheetId="1" refreshError="1"/>
      <sheetData sheetId="2" refreshError="1"/>
      <sheetData sheetId="3"/>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refreshError="1"/>
      <sheetData sheetId="248" refreshError="1"/>
      <sheetData sheetId="249" refreshError="1"/>
      <sheetData sheetId="250" refreshError="1"/>
      <sheetData sheetId="251" refreshError="1"/>
      <sheetData sheetId="252" refreshError="1"/>
      <sheetData sheetId="253" refreshError="1"/>
      <sheetData sheetId="254" refreshError="1"/>
      <sheetData sheetId="255" refreshError="1"/>
      <sheetData sheetId="256" refreshError="1"/>
      <sheetData sheetId="257" refreshError="1"/>
      <sheetData sheetId="258" refreshError="1"/>
      <sheetData sheetId="259" refreshError="1"/>
      <sheetData sheetId="260" refreshError="1"/>
      <sheetData sheetId="261" refreshError="1"/>
      <sheetData sheetId="262" refreshError="1"/>
      <sheetData sheetId="263" refreshError="1"/>
      <sheetData sheetId="264" refreshError="1"/>
      <sheetData sheetId="265" refreshError="1"/>
      <sheetData sheetId="266" refreshError="1"/>
      <sheetData sheetId="267" refreshError="1"/>
      <sheetData sheetId="268" refreshError="1"/>
      <sheetData sheetId="269" refreshError="1"/>
      <sheetData sheetId="270" refreshError="1"/>
      <sheetData sheetId="271" refreshError="1"/>
      <sheetData sheetId="272" refreshError="1"/>
      <sheetData sheetId="273" refreshError="1"/>
      <sheetData sheetId="274" refreshError="1"/>
      <sheetData sheetId="275" refreshError="1"/>
      <sheetData sheetId="276" refreshError="1"/>
      <sheetData sheetId="277" refreshError="1"/>
      <sheetData sheetId="278" refreshError="1"/>
      <sheetData sheetId="279" refreshError="1"/>
      <sheetData sheetId="280" refreshError="1"/>
      <sheetData sheetId="281" refreshError="1"/>
      <sheetData sheetId="282" refreshError="1"/>
      <sheetData sheetId="283" refreshError="1"/>
      <sheetData sheetId="284" refreshError="1"/>
      <sheetData sheetId="285" refreshError="1"/>
      <sheetData sheetId="286" refreshError="1"/>
      <sheetData sheetId="287" refreshError="1"/>
      <sheetData sheetId="288" refreshError="1"/>
      <sheetData sheetId="289" refreshError="1"/>
      <sheetData sheetId="290" refreshError="1"/>
      <sheetData sheetId="291" refreshError="1"/>
      <sheetData sheetId="292" refreshError="1"/>
      <sheetData sheetId="293" refreshError="1"/>
      <sheetData sheetId="294" refreshError="1"/>
      <sheetData sheetId="295" refreshError="1"/>
      <sheetData sheetId="296" refreshError="1"/>
      <sheetData sheetId="297" refreshError="1"/>
      <sheetData sheetId="298" refreshError="1"/>
      <sheetData sheetId="299" refreshError="1"/>
      <sheetData sheetId="300" refreshError="1"/>
      <sheetData sheetId="301" refreshError="1"/>
      <sheetData sheetId="302" refreshError="1"/>
      <sheetData sheetId="303" refreshError="1"/>
      <sheetData sheetId="304" refreshError="1"/>
      <sheetData sheetId="305" refreshError="1"/>
      <sheetData sheetId="306" refreshError="1"/>
      <sheetData sheetId="307" refreshError="1"/>
      <sheetData sheetId="308" refreshError="1"/>
      <sheetData sheetId="309" refreshError="1"/>
      <sheetData sheetId="310" refreshError="1"/>
      <sheetData sheetId="311" refreshError="1"/>
      <sheetData sheetId="312" refreshError="1"/>
      <sheetData sheetId="313" refreshError="1"/>
      <sheetData sheetId="314" refreshError="1"/>
      <sheetData sheetId="315" refreshError="1"/>
      <sheetData sheetId="316" refreshError="1"/>
      <sheetData sheetId="317" refreshError="1"/>
      <sheetData sheetId="318" refreshError="1"/>
      <sheetData sheetId="319" refreshError="1"/>
      <sheetData sheetId="320" refreshError="1"/>
      <sheetData sheetId="321" refreshError="1"/>
      <sheetData sheetId="322" refreshError="1"/>
      <sheetData sheetId="323" refreshError="1"/>
      <sheetData sheetId="324" refreshError="1"/>
    </sheetDataSet>
  </externalBook>
</externalLink>
</file>

<file path=xl/externalLinks/externalLink10.xml><?xml version="1.0" encoding="utf-8"?>
<externalLink xmlns="http://schemas.openxmlformats.org/spreadsheetml/2006/main">
  <externalBook xmlns:r="http://schemas.openxmlformats.org/officeDocument/2006/relationships" r:id="rId1">
    <sheetNames>
      <sheetName val="Sheet1"/>
      <sheetName val="Sheet3"/>
      <sheetName val="p1"/>
      <sheetName val="p2"/>
    </sheetNames>
    <sheetDataSet>
      <sheetData sheetId="0" refreshError="1"/>
      <sheetData sheetId="1" refreshError="1"/>
      <sheetData sheetId="2" refreshError="1"/>
      <sheetData sheetId="3" refreshError="1"/>
    </sheetDataSet>
  </externalBook>
</externalLink>
</file>

<file path=xl/externalLinks/externalLink11.xml><?xml version="1.0" encoding="utf-8"?>
<externalLink xmlns="http://schemas.openxmlformats.org/spreadsheetml/2006/main">
  <externalBook xmlns:r="http://schemas.openxmlformats.org/officeDocument/2006/relationships" r:id="rId1">
    <sheetNames>
      <sheetName val="参数"/>
      <sheetName val="12-1管理费填列说明"/>
      <sheetName val="工资性费用预算"/>
      <sheetName val="其他管理费用预算"/>
      <sheetName val="福利费明细"/>
      <sheetName val="12管理费用"/>
      <sheetName val="营销人员薪酬"/>
      <sheetName val="开发间接费用"/>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spPr>
      <a:bodyPr vertOverflow="clip" wrap="square" lIns="18288" tIns="0" rIns="0" bIns="0" upright="1"/>
      <a:lstStyle/>
    </a:lnDef>
  </a:objectDefaults>
</a:theme>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S55"/>
  <sheetViews>
    <sheetView showGridLines="0" workbookViewId="0">
      <selection activeCell="A1" sqref="A1:S1"/>
    </sheetView>
  </sheetViews>
  <sheetFormatPr defaultColWidth="8.66666666666667" defaultRowHeight="14.25"/>
  <cols>
    <col min="1" max="1" width="28.9166666666667" customWidth="1"/>
    <col min="2" max="2" width="14.4166666666667" customWidth="1"/>
  </cols>
  <sheetData>
    <row r="1" s="127" customFormat="1" ht="42" customHeight="1" spans="1:19">
      <c r="A1" s="130" t="s">
        <v>0</v>
      </c>
      <c r="B1" s="130"/>
      <c r="C1" s="130"/>
      <c r="D1" s="130"/>
      <c r="E1" s="130"/>
      <c r="F1" s="130"/>
      <c r="G1" s="130"/>
      <c r="H1" s="130"/>
      <c r="I1" s="130"/>
      <c r="J1" s="130"/>
      <c r="K1" s="130"/>
      <c r="L1" s="130"/>
      <c r="M1" s="130"/>
      <c r="N1" s="130"/>
      <c r="O1" s="130"/>
      <c r="P1" s="130"/>
      <c r="Q1" s="130"/>
      <c r="R1" s="130"/>
      <c r="S1" s="130"/>
    </row>
    <row r="2" s="127" customFormat="1" ht="19" customHeight="1" spans="1:19">
      <c r="A2" s="3" t="s">
        <v>1</v>
      </c>
      <c r="B2" s="489"/>
      <c r="C2" s="490"/>
      <c r="D2" s="491"/>
      <c r="E2" s="491"/>
      <c r="F2" s="491"/>
      <c r="G2" s="3" t="s">
        <v>2</v>
      </c>
      <c r="H2" s="492"/>
      <c r="I2" s="492"/>
      <c r="J2" s="492"/>
      <c r="K2" s="492"/>
      <c r="L2" s="492"/>
      <c r="M2" s="492"/>
      <c r="N2" s="492"/>
      <c r="O2" s="3" t="s">
        <v>3</v>
      </c>
      <c r="P2" s="521"/>
      <c r="Q2" s="521"/>
      <c r="R2" s="521"/>
      <c r="S2" s="523"/>
    </row>
    <row r="3" s="205" customFormat="1" ht="22" customHeight="1" spans="1:19">
      <c r="A3" s="493" t="s">
        <v>4</v>
      </c>
      <c r="B3" s="494" t="s">
        <v>5</v>
      </c>
      <c r="C3" s="495" t="s">
        <v>6</v>
      </c>
      <c r="D3" s="495" t="s">
        <v>7</v>
      </c>
      <c r="E3" s="495" t="s">
        <v>8</v>
      </c>
      <c r="F3" s="495" t="s">
        <v>9</v>
      </c>
      <c r="G3" s="495" t="s">
        <v>10</v>
      </c>
      <c r="H3" s="495" t="s">
        <v>11</v>
      </c>
      <c r="I3" s="495" t="s">
        <v>12</v>
      </c>
      <c r="J3" s="495" t="s">
        <v>13</v>
      </c>
      <c r="K3" s="495" t="s">
        <v>14</v>
      </c>
      <c r="L3" s="495" t="s">
        <v>15</v>
      </c>
      <c r="M3" s="495" t="s">
        <v>16</v>
      </c>
      <c r="N3" s="495" t="s">
        <v>17</v>
      </c>
      <c r="O3" s="495" t="s">
        <v>18</v>
      </c>
      <c r="P3" s="522" t="s">
        <v>19</v>
      </c>
      <c r="Q3" s="522" t="s">
        <v>20</v>
      </c>
      <c r="R3" s="522" t="s">
        <v>21</v>
      </c>
      <c r="S3" s="524" t="s">
        <v>22</v>
      </c>
    </row>
    <row r="4" s="4" customFormat="1" ht="22" customHeight="1" spans="1:19">
      <c r="A4" s="496" t="s">
        <v>23</v>
      </c>
      <c r="B4" s="497"/>
      <c r="C4" s="448"/>
      <c r="D4" s="448"/>
      <c r="E4" s="448"/>
      <c r="F4" s="448"/>
      <c r="G4" s="448"/>
      <c r="H4" s="448"/>
      <c r="I4" s="448"/>
      <c r="J4" s="448"/>
      <c r="K4" s="448"/>
      <c r="L4" s="448"/>
      <c r="M4" s="448"/>
      <c r="N4" s="448"/>
      <c r="O4" s="448"/>
      <c r="P4" s="448"/>
      <c r="Q4" s="448"/>
      <c r="R4" s="448"/>
      <c r="S4" s="525"/>
    </row>
    <row r="5" s="4" customFormat="1" ht="22" customHeight="1" spans="1:19">
      <c r="A5" s="498" t="s">
        <v>24</v>
      </c>
      <c r="B5" s="497"/>
      <c r="C5" s="499"/>
      <c r="D5" s="499"/>
      <c r="E5" s="499"/>
      <c r="F5" s="499"/>
      <c r="G5" s="500"/>
      <c r="H5" s="500"/>
      <c r="I5" s="500"/>
      <c r="J5" s="500"/>
      <c r="K5" s="500"/>
      <c r="L5" s="500"/>
      <c r="M5" s="500"/>
      <c r="N5" s="500"/>
      <c r="O5" s="500"/>
      <c r="P5" s="500"/>
      <c r="Q5" s="500"/>
      <c r="R5" s="500"/>
      <c r="S5" s="526"/>
    </row>
    <row r="6" s="4" customFormat="1" ht="22" customHeight="1" spans="1:19">
      <c r="A6" s="498" t="s">
        <v>25</v>
      </c>
      <c r="B6" s="501"/>
      <c r="C6" s="499">
        <f t="shared" ref="C6:C9" si="0">SUM(D6:F6)</f>
        <v>0</v>
      </c>
      <c r="D6" s="499"/>
      <c r="E6" s="499"/>
      <c r="F6" s="499"/>
      <c r="G6" s="499">
        <f t="shared" ref="G6:G10" si="1">SUM(H6:J6)</f>
        <v>0</v>
      </c>
      <c r="H6" s="499"/>
      <c r="I6" s="499"/>
      <c r="J6" s="499"/>
      <c r="K6" s="499">
        <f t="shared" ref="K6:K10" si="2">SUM(L6:N6)</f>
        <v>0</v>
      </c>
      <c r="L6" s="499"/>
      <c r="M6" s="499"/>
      <c r="N6" s="499"/>
      <c r="O6" s="499">
        <f t="shared" ref="O6:O10" si="3">SUM(P6:R6)</f>
        <v>0</v>
      </c>
      <c r="P6" s="499"/>
      <c r="Q6" s="499"/>
      <c r="R6" s="499"/>
      <c r="S6" s="527">
        <f t="shared" ref="S6:S9" si="4">O6+K6+G6+C6</f>
        <v>0</v>
      </c>
    </row>
    <row r="7" s="4" customFormat="1" ht="22" customHeight="1" spans="1:19">
      <c r="A7" s="498" t="s">
        <v>26</v>
      </c>
      <c r="B7" s="502"/>
      <c r="C7" s="499">
        <f t="shared" si="0"/>
        <v>0</v>
      </c>
      <c r="D7" s="499"/>
      <c r="E7" s="499"/>
      <c r="F7" s="499"/>
      <c r="G7" s="499">
        <f t="shared" si="1"/>
        <v>0</v>
      </c>
      <c r="H7" s="499"/>
      <c r="I7" s="499"/>
      <c r="J7" s="499"/>
      <c r="K7" s="499">
        <f t="shared" si="2"/>
        <v>0</v>
      </c>
      <c r="L7" s="499"/>
      <c r="M7" s="499"/>
      <c r="N7" s="499"/>
      <c r="O7" s="499">
        <f t="shared" si="3"/>
        <v>0</v>
      </c>
      <c r="P7" s="499"/>
      <c r="Q7" s="499"/>
      <c r="R7" s="499"/>
      <c r="S7" s="527">
        <f t="shared" si="4"/>
        <v>0</v>
      </c>
    </row>
    <row r="8" s="4" customFormat="1" ht="22" customHeight="1" spans="1:19">
      <c r="A8" s="498" t="s">
        <v>27</v>
      </c>
      <c r="B8" s="501"/>
      <c r="C8" s="499">
        <f t="shared" si="0"/>
        <v>0</v>
      </c>
      <c r="D8" s="499"/>
      <c r="E8" s="499"/>
      <c r="F8" s="499"/>
      <c r="G8" s="499">
        <f t="shared" si="1"/>
        <v>0</v>
      </c>
      <c r="H8" s="499"/>
      <c r="I8" s="499"/>
      <c r="J8" s="499"/>
      <c r="K8" s="499">
        <f t="shared" si="2"/>
        <v>0</v>
      </c>
      <c r="L8" s="499"/>
      <c r="M8" s="499"/>
      <c r="N8" s="499"/>
      <c r="O8" s="499">
        <f t="shared" si="3"/>
        <v>0</v>
      </c>
      <c r="P8" s="499"/>
      <c r="Q8" s="499"/>
      <c r="R8" s="499"/>
      <c r="S8" s="527">
        <f t="shared" si="4"/>
        <v>0</v>
      </c>
    </row>
    <row r="9" s="4" customFormat="1" ht="22" customHeight="1" spans="1:19">
      <c r="A9" s="498" t="s">
        <v>28</v>
      </c>
      <c r="B9" s="501"/>
      <c r="C9" s="499">
        <f t="shared" si="0"/>
        <v>0</v>
      </c>
      <c r="D9" s="499"/>
      <c r="E9" s="499"/>
      <c r="F9" s="499"/>
      <c r="G9" s="499">
        <f t="shared" si="1"/>
        <v>0</v>
      </c>
      <c r="H9" s="499"/>
      <c r="I9" s="499"/>
      <c r="J9" s="499"/>
      <c r="K9" s="499">
        <f t="shared" si="2"/>
        <v>0</v>
      </c>
      <c r="L9" s="499"/>
      <c r="M9" s="499"/>
      <c r="N9" s="499"/>
      <c r="O9" s="499">
        <f t="shared" si="3"/>
        <v>0</v>
      </c>
      <c r="P9" s="499"/>
      <c r="Q9" s="499"/>
      <c r="R9" s="499"/>
      <c r="S9" s="527">
        <f t="shared" si="4"/>
        <v>0</v>
      </c>
    </row>
    <row r="10" s="4" customFormat="1" ht="22" customHeight="1" spans="1:19">
      <c r="A10" s="498" t="s">
        <v>29</v>
      </c>
      <c r="B10" s="502"/>
      <c r="C10" s="499">
        <f t="shared" ref="C10:C23" si="5">SUM(D10:F10)</f>
        <v>0</v>
      </c>
      <c r="D10" s="499"/>
      <c r="E10" s="499"/>
      <c r="F10" s="499"/>
      <c r="G10" s="499">
        <f t="shared" si="1"/>
        <v>0</v>
      </c>
      <c r="H10" s="499"/>
      <c r="I10" s="499"/>
      <c r="J10" s="499"/>
      <c r="K10" s="499">
        <f t="shared" si="2"/>
        <v>0</v>
      </c>
      <c r="L10" s="499"/>
      <c r="M10" s="499"/>
      <c r="N10" s="499"/>
      <c r="O10" s="499">
        <f t="shared" si="3"/>
        <v>0</v>
      </c>
      <c r="P10" s="499"/>
      <c r="Q10" s="499"/>
      <c r="R10" s="499"/>
      <c r="S10" s="527">
        <f t="shared" ref="S10:S23" si="6">O10+K10+G10+C10</f>
        <v>0</v>
      </c>
    </row>
    <row r="11" s="4" customFormat="1" ht="22" customHeight="1" spans="1:19">
      <c r="A11" s="503" t="s">
        <v>30</v>
      </c>
      <c r="B11" s="504"/>
      <c r="C11" s="505">
        <f t="shared" si="5"/>
        <v>0</v>
      </c>
      <c r="D11" s="505">
        <f t="shared" ref="D11:F11" si="7">D6+D8+D10</f>
        <v>0</v>
      </c>
      <c r="E11" s="505">
        <f t="shared" si="7"/>
        <v>0</v>
      </c>
      <c r="F11" s="505">
        <f t="shared" si="7"/>
        <v>0</v>
      </c>
      <c r="G11" s="505">
        <f t="shared" ref="G10:G23" si="8">SUM(H11:J11)</f>
        <v>0</v>
      </c>
      <c r="H11" s="505">
        <f t="shared" ref="H11:J11" si="9">H6+H8+H10</f>
        <v>0</v>
      </c>
      <c r="I11" s="505">
        <f t="shared" si="9"/>
        <v>0</v>
      </c>
      <c r="J11" s="505">
        <f t="shared" si="9"/>
        <v>0</v>
      </c>
      <c r="K11" s="505">
        <f t="shared" ref="K10:K23" si="10">SUM(L11:N11)</f>
        <v>0</v>
      </c>
      <c r="L11" s="505">
        <f t="shared" ref="L11:N11" si="11">L6+L8+L10</f>
        <v>0</v>
      </c>
      <c r="M11" s="505">
        <f t="shared" si="11"/>
        <v>0</v>
      </c>
      <c r="N11" s="505">
        <f t="shared" si="11"/>
        <v>0</v>
      </c>
      <c r="O11" s="505">
        <f t="shared" ref="O10:O23" si="12">SUM(P11:R11)</f>
        <v>0</v>
      </c>
      <c r="P11" s="505">
        <f t="shared" ref="P11:R11" si="13">P6+P8+P10</f>
        <v>0</v>
      </c>
      <c r="Q11" s="505">
        <f t="shared" si="13"/>
        <v>0</v>
      </c>
      <c r="R11" s="505">
        <f t="shared" si="13"/>
        <v>0</v>
      </c>
      <c r="S11" s="528">
        <f t="shared" si="6"/>
        <v>0</v>
      </c>
    </row>
    <row r="12" s="4" customFormat="1" ht="22" customHeight="1" spans="1:19">
      <c r="A12" s="498" t="s">
        <v>31</v>
      </c>
      <c r="B12" s="497"/>
      <c r="C12" s="506"/>
      <c r="D12" s="506"/>
      <c r="E12" s="506"/>
      <c r="F12" s="506"/>
      <c r="G12" s="500"/>
      <c r="H12" s="506"/>
      <c r="I12" s="506"/>
      <c r="J12" s="506"/>
      <c r="K12" s="500"/>
      <c r="L12" s="506"/>
      <c r="M12" s="506"/>
      <c r="N12" s="506"/>
      <c r="O12" s="500"/>
      <c r="P12" s="506"/>
      <c r="Q12" s="506"/>
      <c r="R12" s="506"/>
      <c r="S12" s="526"/>
    </row>
    <row r="13" s="4" customFormat="1" ht="22" customHeight="1" spans="1:19">
      <c r="A13" s="507" t="s">
        <v>32</v>
      </c>
      <c r="B13" s="508"/>
      <c r="C13" s="499">
        <f t="shared" si="5"/>
        <v>0</v>
      </c>
      <c r="D13" s="499"/>
      <c r="E13" s="499"/>
      <c r="F13" s="499"/>
      <c r="G13" s="499">
        <f t="shared" si="8"/>
        <v>0</v>
      </c>
      <c r="H13" s="499"/>
      <c r="I13" s="499"/>
      <c r="J13" s="499"/>
      <c r="K13" s="499">
        <f t="shared" si="10"/>
        <v>0</v>
      </c>
      <c r="L13" s="499"/>
      <c r="M13" s="499"/>
      <c r="N13" s="499"/>
      <c r="O13" s="499">
        <f t="shared" si="12"/>
        <v>0</v>
      </c>
      <c r="P13" s="499"/>
      <c r="Q13" s="499"/>
      <c r="R13" s="499"/>
      <c r="S13" s="527">
        <f t="shared" si="6"/>
        <v>0</v>
      </c>
    </row>
    <row r="14" s="4" customFormat="1" ht="22" customHeight="1" spans="1:19">
      <c r="A14" s="507" t="s">
        <v>33</v>
      </c>
      <c r="B14" s="509"/>
      <c r="C14" s="499">
        <f t="shared" si="5"/>
        <v>0</v>
      </c>
      <c r="D14" s="499"/>
      <c r="E14" s="499"/>
      <c r="F14" s="499"/>
      <c r="G14" s="499">
        <f t="shared" si="8"/>
        <v>0</v>
      </c>
      <c r="H14" s="499"/>
      <c r="I14" s="499"/>
      <c r="J14" s="499"/>
      <c r="K14" s="499">
        <f t="shared" si="10"/>
        <v>0</v>
      </c>
      <c r="L14" s="499"/>
      <c r="M14" s="499"/>
      <c r="N14" s="499"/>
      <c r="O14" s="499">
        <f t="shared" si="12"/>
        <v>0</v>
      </c>
      <c r="P14" s="499"/>
      <c r="Q14" s="499"/>
      <c r="R14" s="499"/>
      <c r="S14" s="527">
        <f t="shared" si="6"/>
        <v>0</v>
      </c>
    </row>
    <row r="15" s="4" customFormat="1" ht="22" customHeight="1" spans="1:19">
      <c r="A15" s="507" t="s">
        <v>34</v>
      </c>
      <c r="B15" s="502"/>
      <c r="C15" s="499">
        <f t="shared" si="5"/>
        <v>0</v>
      </c>
      <c r="D15" s="499"/>
      <c r="E15" s="499"/>
      <c r="F15" s="499"/>
      <c r="G15" s="499">
        <f t="shared" si="8"/>
        <v>0</v>
      </c>
      <c r="H15" s="499"/>
      <c r="I15" s="499"/>
      <c r="J15" s="499"/>
      <c r="K15" s="499">
        <f t="shared" si="10"/>
        <v>0</v>
      </c>
      <c r="L15" s="499"/>
      <c r="M15" s="499"/>
      <c r="N15" s="499"/>
      <c r="O15" s="499">
        <f t="shared" si="12"/>
        <v>0</v>
      </c>
      <c r="P15" s="499"/>
      <c r="Q15" s="499"/>
      <c r="R15" s="499"/>
      <c r="S15" s="527">
        <f t="shared" si="6"/>
        <v>0</v>
      </c>
    </row>
    <row r="16" s="4" customFormat="1" ht="22" customHeight="1" spans="1:19">
      <c r="A16" s="503" t="s">
        <v>35</v>
      </c>
      <c r="B16" s="504"/>
      <c r="C16" s="505">
        <f t="shared" si="5"/>
        <v>0</v>
      </c>
      <c r="D16" s="505">
        <f t="shared" ref="D16:F16" si="14">D13+D15</f>
        <v>0</v>
      </c>
      <c r="E16" s="505">
        <f t="shared" si="14"/>
        <v>0</v>
      </c>
      <c r="F16" s="505">
        <f t="shared" si="14"/>
        <v>0</v>
      </c>
      <c r="G16" s="505">
        <f t="shared" si="8"/>
        <v>0</v>
      </c>
      <c r="H16" s="505">
        <f t="shared" ref="H16:J16" si="15">H13+H15</f>
        <v>0</v>
      </c>
      <c r="I16" s="505">
        <f t="shared" si="15"/>
        <v>0</v>
      </c>
      <c r="J16" s="505">
        <f t="shared" si="15"/>
        <v>0</v>
      </c>
      <c r="K16" s="505">
        <f t="shared" si="10"/>
        <v>0</v>
      </c>
      <c r="L16" s="505">
        <f t="shared" ref="L16:N16" si="16">L13+L15</f>
        <v>0</v>
      </c>
      <c r="M16" s="505">
        <f t="shared" si="16"/>
        <v>0</v>
      </c>
      <c r="N16" s="505">
        <f t="shared" si="16"/>
        <v>0</v>
      </c>
      <c r="O16" s="505">
        <f t="shared" si="12"/>
        <v>0</v>
      </c>
      <c r="P16" s="505">
        <f t="shared" ref="P16:R16" si="17">P13+P15</f>
        <v>0</v>
      </c>
      <c r="Q16" s="505">
        <f t="shared" si="17"/>
        <v>0</v>
      </c>
      <c r="R16" s="505">
        <f t="shared" si="17"/>
        <v>0</v>
      </c>
      <c r="S16" s="528">
        <f t="shared" si="6"/>
        <v>0</v>
      </c>
    </row>
    <row r="17" s="4" customFormat="1" ht="22" customHeight="1" spans="1:19">
      <c r="A17" s="498" t="s">
        <v>36</v>
      </c>
      <c r="B17" s="502"/>
      <c r="C17" s="499">
        <f t="shared" si="5"/>
        <v>0</v>
      </c>
      <c r="D17" s="499"/>
      <c r="E17" s="499"/>
      <c r="F17" s="499"/>
      <c r="G17" s="499">
        <f t="shared" si="8"/>
        <v>0</v>
      </c>
      <c r="H17" s="499"/>
      <c r="I17" s="499"/>
      <c r="J17" s="499"/>
      <c r="K17" s="499">
        <f t="shared" si="10"/>
        <v>0</v>
      </c>
      <c r="L17" s="499"/>
      <c r="M17" s="499"/>
      <c r="N17" s="499"/>
      <c r="O17" s="499">
        <f t="shared" si="12"/>
        <v>0</v>
      </c>
      <c r="P17" s="499"/>
      <c r="Q17" s="499"/>
      <c r="R17" s="499"/>
      <c r="S17" s="527">
        <f t="shared" si="6"/>
        <v>0</v>
      </c>
    </row>
    <row r="18" s="4" customFormat="1" ht="22" customHeight="1" spans="1:19">
      <c r="A18" s="498" t="s">
        <v>37</v>
      </c>
      <c r="B18" s="502"/>
      <c r="C18" s="499">
        <f t="shared" si="5"/>
        <v>0</v>
      </c>
      <c r="D18" s="499"/>
      <c r="E18" s="499"/>
      <c r="F18" s="499"/>
      <c r="G18" s="499">
        <f t="shared" si="8"/>
        <v>0</v>
      </c>
      <c r="H18" s="499"/>
      <c r="I18" s="499"/>
      <c r="J18" s="499"/>
      <c r="K18" s="499">
        <f t="shared" si="10"/>
        <v>0</v>
      </c>
      <c r="L18" s="499"/>
      <c r="M18" s="499"/>
      <c r="N18" s="499"/>
      <c r="O18" s="499">
        <f t="shared" si="12"/>
        <v>0</v>
      </c>
      <c r="P18" s="499"/>
      <c r="Q18" s="499"/>
      <c r="R18" s="499"/>
      <c r="S18" s="527">
        <f t="shared" si="6"/>
        <v>0</v>
      </c>
    </row>
    <row r="19" s="4" customFormat="1" ht="22" customHeight="1" spans="1:19">
      <c r="A19" s="503" t="s">
        <v>38</v>
      </c>
      <c r="B19" s="504"/>
      <c r="C19" s="505">
        <f t="shared" si="5"/>
        <v>0</v>
      </c>
      <c r="D19" s="505">
        <f t="shared" ref="D19:F19" si="18">SUM(D17:D18)</f>
        <v>0</v>
      </c>
      <c r="E19" s="505">
        <f t="shared" si="18"/>
        <v>0</v>
      </c>
      <c r="F19" s="505">
        <f t="shared" si="18"/>
        <v>0</v>
      </c>
      <c r="G19" s="505">
        <f t="shared" si="8"/>
        <v>0</v>
      </c>
      <c r="H19" s="505">
        <f t="shared" ref="H19:J19" si="19">SUM(H17:H18)</f>
        <v>0</v>
      </c>
      <c r="I19" s="505">
        <f t="shared" si="19"/>
        <v>0</v>
      </c>
      <c r="J19" s="505">
        <f t="shared" si="19"/>
        <v>0</v>
      </c>
      <c r="K19" s="505">
        <f t="shared" si="10"/>
        <v>0</v>
      </c>
      <c r="L19" s="505">
        <f t="shared" ref="L19:N19" si="20">SUM(L17:L18)</f>
        <v>0</v>
      </c>
      <c r="M19" s="505">
        <f t="shared" si="20"/>
        <v>0</v>
      </c>
      <c r="N19" s="505">
        <f t="shared" si="20"/>
        <v>0</v>
      </c>
      <c r="O19" s="505">
        <f t="shared" si="12"/>
        <v>0</v>
      </c>
      <c r="P19" s="505">
        <f t="shared" ref="P19:R19" si="21">SUM(P17:P18)</f>
        <v>0</v>
      </c>
      <c r="Q19" s="505">
        <f t="shared" si="21"/>
        <v>0</v>
      </c>
      <c r="R19" s="505">
        <f t="shared" si="21"/>
        <v>0</v>
      </c>
      <c r="S19" s="528">
        <f t="shared" si="6"/>
        <v>0</v>
      </c>
    </row>
    <row r="20" s="4" customFormat="1" ht="22" customHeight="1" spans="1:19">
      <c r="A20" s="503" t="s">
        <v>39</v>
      </c>
      <c r="B20" s="510"/>
      <c r="C20" s="505">
        <f t="shared" si="5"/>
        <v>0</v>
      </c>
      <c r="D20" s="505"/>
      <c r="E20" s="505"/>
      <c r="F20" s="505"/>
      <c r="G20" s="505">
        <f t="shared" si="8"/>
        <v>0</v>
      </c>
      <c r="H20" s="505"/>
      <c r="I20" s="505"/>
      <c r="J20" s="505"/>
      <c r="K20" s="505">
        <f t="shared" si="10"/>
        <v>0</v>
      </c>
      <c r="L20" s="505"/>
      <c r="M20" s="505"/>
      <c r="N20" s="505"/>
      <c r="O20" s="505">
        <f t="shared" si="12"/>
        <v>0</v>
      </c>
      <c r="P20" s="505"/>
      <c r="Q20" s="505"/>
      <c r="R20" s="505"/>
      <c r="S20" s="528">
        <f t="shared" si="6"/>
        <v>0</v>
      </c>
    </row>
    <row r="21" s="4" customFormat="1" ht="22" customHeight="1" spans="1:19">
      <c r="A21" s="498" t="s">
        <v>40</v>
      </c>
      <c r="B21" s="502"/>
      <c r="C21" s="499">
        <f t="shared" si="5"/>
        <v>0</v>
      </c>
      <c r="D21" s="499"/>
      <c r="E21" s="499"/>
      <c r="F21" s="499"/>
      <c r="G21" s="499">
        <f t="shared" si="8"/>
        <v>0</v>
      </c>
      <c r="H21" s="499"/>
      <c r="I21" s="499"/>
      <c r="J21" s="499"/>
      <c r="K21" s="499">
        <f t="shared" si="10"/>
        <v>0</v>
      </c>
      <c r="L21" s="499"/>
      <c r="M21" s="499"/>
      <c r="N21" s="499"/>
      <c r="O21" s="499">
        <f t="shared" si="12"/>
        <v>0</v>
      </c>
      <c r="P21" s="499"/>
      <c r="Q21" s="499"/>
      <c r="R21" s="499"/>
      <c r="S21" s="527">
        <f t="shared" si="6"/>
        <v>0</v>
      </c>
    </row>
    <row r="22" s="4" customFormat="1" ht="22" customHeight="1" spans="1:19">
      <c r="A22" s="511" t="s">
        <v>41</v>
      </c>
      <c r="B22" s="504"/>
      <c r="C22" s="505">
        <f t="shared" si="5"/>
        <v>0</v>
      </c>
      <c r="D22" s="505">
        <f t="shared" ref="D22:F22" si="22">D16+D19+D20+D21</f>
        <v>0</v>
      </c>
      <c r="E22" s="505">
        <f t="shared" si="22"/>
        <v>0</v>
      </c>
      <c r="F22" s="505">
        <f t="shared" si="22"/>
        <v>0</v>
      </c>
      <c r="G22" s="505">
        <f t="shared" si="8"/>
        <v>0</v>
      </c>
      <c r="H22" s="505">
        <f t="shared" ref="H22:J22" si="23">H16+H19+H20+H21</f>
        <v>0</v>
      </c>
      <c r="I22" s="505">
        <f t="shared" si="23"/>
        <v>0</v>
      </c>
      <c r="J22" s="505">
        <f t="shared" si="23"/>
        <v>0</v>
      </c>
      <c r="K22" s="505">
        <f t="shared" si="10"/>
        <v>0</v>
      </c>
      <c r="L22" s="505">
        <f t="shared" ref="L22:N22" si="24">L16+L19+L20+L21</f>
        <v>0</v>
      </c>
      <c r="M22" s="505">
        <f t="shared" si="24"/>
        <v>0</v>
      </c>
      <c r="N22" s="505">
        <f t="shared" si="24"/>
        <v>0</v>
      </c>
      <c r="O22" s="505">
        <f t="shared" si="12"/>
        <v>0</v>
      </c>
      <c r="P22" s="505">
        <f t="shared" ref="P22:R22" si="25">P16+P19+P20+P21</f>
        <v>0</v>
      </c>
      <c r="Q22" s="505">
        <f t="shared" si="25"/>
        <v>0</v>
      </c>
      <c r="R22" s="505">
        <f t="shared" si="25"/>
        <v>0</v>
      </c>
      <c r="S22" s="528">
        <f t="shared" si="6"/>
        <v>0</v>
      </c>
    </row>
    <row r="23" s="4" customFormat="1" ht="22" customHeight="1" spans="1:19">
      <c r="A23" s="512" t="s">
        <v>42</v>
      </c>
      <c r="B23" s="497"/>
      <c r="C23" s="499">
        <f t="shared" si="5"/>
        <v>0</v>
      </c>
      <c r="D23" s="499">
        <f t="shared" ref="D23:F23" si="26">D11-D22</f>
        <v>0</v>
      </c>
      <c r="E23" s="499">
        <f t="shared" si="26"/>
        <v>0</v>
      </c>
      <c r="F23" s="499">
        <f t="shared" si="26"/>
        <v>0</v>
      </c>
      <c r="G23" s="499">
        <f t="shared" si="8"/>
        <v>0</v>
      </c>
      <c r="H23" s="499">
        <f t="shared" ref="H23:J23" si="27">H11-H22</f>
        <v>0</v>
      </c>
      <c r="I23" s="499">
        <f t="shared" si="27"/>
        <v>0</v>
      </c>
      <c r="J23" s="499">
        <f t="shared" si="27"/>
        <v>0</v>
      </c>
      <c r="K23" s="499">
        <f t="shared" si="10"/>
        <v>0</v>
      </c>
      <c r="L23" s="499">
        <f t="shared" ref="L23:N23" si="28">L11-L22</f>
        <v>0</v>
      </c>
      <c r="M23" s="499">
        <f t="shared" si="28"/>
        <v>0</v>
      </c>
      <c r="N23" s="499">
        <f t="shared" si="28"/>
        <v>0</v>
      </c>
      <c r="O23" s="499">
        <f t="shared" si="12"/>
        <v>0</v>
      </c>
      <c r="P23" s="499">
        <f t="shared" ref="P23:R23" si="29">P11-P22</f>
        <v>0</v>
      </c>
      <c r="Q23" s="499">
        <f t="shared" si="29"/>
        <v>0</v>
      </c>
      <c r="R23" s="499">
        <f t="shared" si="29"/>
        <v>0</v>
      </c>
      <c r="S23" s="527">
        <f t="shared" si="6"/>
        <v>0</v>
      </c>
    </row>
    <row r="24" s="4" customFormat="1" ht="22" customHeight="1" spans="1:19">
      <c r="A24" s="496" t="s">
        <v>43</v>
      </c>
      <c r="B24" s="497"/>
      <c r="C24" s="499"/>
      <c r="D24" s="499"/>
      <c r="E24" s="499"/>
      <c r="F24" s="499"/>
      <c r="G24" s="499"/>
      <c r="H24" s="499"/>
      <c r="I24" s="499"/>
      <c r="J24" s="499"/>
      <c r="K24" s="499"/>
      <c r="L24" s="499"/>
      <c r="M24" s="499"/>
      <c r="N24" s="499"/>
      <c r="O24" s="499"/>
      <c r="P24" s="499"/>
      <c r="Q24" s="499"/>
      <c r="R24" s="499"/>
      <c r="S24" s="527"/>
    </row>
    <row r="25" s="4" customFormat="1" ht="22" customHeight="1" spans="1:19">
      <c r="A25" s="498" t="s">
        <v>24</v>
      </c>
      <c r="B25" s="497"/>
      <c r="C25" s="499"/>
      <c r="D25" s="499"/>
      <c r="E25" s="499"/>
      <c r="F25" s="499"/>
      <c r="G25" s="499"/>
      <c r="H25" s="499"/>
      <c r="I25" s="499"/>
      <c r="J25" s="499"/>
      <c r="K25" s="499"/>
      <c r="L25" s="499"/>
      <c r="M25" s="499"/>
      <c r="N25" s="499"/>
      <c r="O25" s="499"/>
      <c r="P25" s="499"/>
      <c r="Q25" s="499"/>
      <c r="R25" s="499"/>
      <c r="S25" s="527"/>
    </row>
    <row r="26" s="4" customFormat="1" ht="22" customHeight="1" spans="1:19">
      <c r="A26" s="498" t="s">
        <v>44</v>
      </c>
      <c r="B26" s="502"/>
      <c r="C26" s="499">
        <f t="shared" ref="C26:C29" si="30">SUM(D26:F26)</f>
        <v>0</v>
      </c>
      <c r="D26" s="499"/>
      <c r="E26" s="499"/>
      <c r="F26" s="499"/>
      <c r="G26" s="499">
        <f t="shared" ref="G26:G29" si="31">SUM(H26:J26)</f>
        <v>0</v>
      </c>
      <c r="H26" s="499"/>
      <c r="I26" s="499"/>
      <c r="J26" s="499"/>
      <c r="K26" s="499">
        <f t="shared" ref="K26:K29" si="32">SUM(L26:N26)</f>
        <v>0</v>
      </c>
      <c r="L26" s="499"/>
      <c r="M26" s="499"/>
      <c r="N26" s="499"/>
      <c r="O26" s="499">
        <f t="shared" ref="O26:O29" si="33">SUM(P26:R26)</f>
        <v>0</v>
      </c>
      <c r="P26" s="499"/>
      <c r="Q26" s="499"/>
      <c r="R26" s="499"/>
      <c r="S26" s="527">
        <f t="shared" ref="S26:S29" si="34">O26+K26+G26+C26</f>
        <v>0</v>
      </c>
    </row>
    <row r="27" s="4" customFormat="1" ht="22" customHeight="1" spans="1:19">
      <c r="A27" s="498" t="s">
        <v>45</v>
      </c>
      <c r="B27" s="502"/>
      <c r="C27" s="499">
        <f t="shared" si="30"/>
        <v>0</v>
      </c>
      <c r="D27" s="499"/>
      <c r="E27" s="499"/>
      <c r="F27" s="499"/>
      <c r="G27" s="499">
        <f t="shared" si="31"/>
        <v>0</v>
      </c>
      <c r="H27" s="499"/>
      <c r="I27" s="499"/>
      <c r="J27" s="499"/>
      <c r="K27" s="499">
        <f t="shared" si="32"/>
        <v>0</v>
      </c>
      <c r="L27" s="499"/>
      <c r="M27" s="499"/>
      <c r="N27" s="499"/>
      <c r="O27" s="499">
        <f t="shared" si="33"/>
        <v>0</v>
      </c>
      <c r="P27" s="499"/>
      <c r="Q27" s="499"/>
      <c r="R27" s="499"/>
      <c r="S27" s="527">
        <f t="shared" si="34"/>
        <v>0</v>
      </c>
    </row>
    <row r="28" s="4" customFormat="1" ht="22" customHeight="1" spans="1:19">
      <c r="A28" s="498" t="s">
        <v>46</v>
      </c>
      <c r="B28" s="502"/>
      <c r="C28" s="499">
        <f t="shared" si="30"/>
        <v>0</v>
      </c>
      <c r="D28" s="499"/>
      <c r="E28" s="499"/>
      <c r="F28" s="499"/>
      <c r="G28" s="499">
        <f t="shared" si="31"/>
        <v>0</v>
      </c>
      <c r="H28" s="499"/>
      <c r="I28" s="499"/>
      <c r="J28" s="499"/>
      <c r="K28" s="499">
        <f t="shared" si="32"/>
        <v>0</v>
      </c>
      <c r="L28" s="499"/>
      <c r="M28" s="499"/>
      <c r="N28" s="499"/>
      <c r="O28" s="499">
        <f t="shared" si="33"/>
        <v>0</v>
      </c>
      <c r="P28" s="499"/>
      <c r="Q28" s="499"/>
      <c r="R28" s="499"/>
      <c r="S28" s="527">
        <f t="shared" si="34"/>
        <v>0</v>
      </c>
    </row>
    <row r="29" s="4" customFormat="1" ht="34" customHeight="1" spans="1:19">
      <c r="A29" s="513" t="s">
        <v>47</v>
      </c>
      <c r="B29" s="502"/>
      <c r="C29" s="499">
        <f t="shared" si="30"/>
        <v>0</v>
      </c>
      <c r="D29" s="499"/>
      <c r="E29" s="499"/>
      <c r="F29" s="499"/>
      <c r="G29" s="499">
        <f t="shared" si="31"/>
        <v>0</v>
      </c>
      <c r="H29" s="499"/>
      <c r="I29" s="499"/>
      <c r="J29" s="499"/>
      <c r="K29" s="499">
        <f t="shared" si="32"/>
        <v>0</v>
      </c>
      <c r="L29" s="499"/>
      <c r="M29" s="499"/>
      <c r="N29" s="499"/>
      <c r="O29" s="499">
        <f t="shared" si="33"/>
        <v>0</v>
      </c>
      <c r="P29" s="499"/>
      <c r="Q29" s="499"/>
      <c r="R29" s="499"/>
      <c r="S29" s="527">
        <f t="shared" si="34"/>
        <v>0</v>
      </c>
    </row>
    <row r="30" s="4" customFormat="1" ht="22" customHeight="1" spans="1:19">
      <c r="A30" s="498" t="s">
        <v>48</v>
      </c>
      <c r="B30" s="502"/>
      <c r="C30" s="499">
        <f t="shared" ref="C30:C39" si="35">SUM(D30:F30)</f>
        <v>0</v>
      </c>
      <c r="D30" s="499"/>
      <c r="E30" s="499"/>
      <c r="F30" s="499"/>
      <c r="G30" s="499">
        <f t="shared" ref="G30:G39" si="36">SUM(H30:J30)</f>
        <v>0</v>
      </c>
      <c r="H30" s="499"/>
      <c r="I30" s="499"/>
      <c r="J30" s="499"/>
      <c r="K30" s="499">
        <f t="shared" ref="K30:K39" si="37">SUM(L30:N30)</f>
        <v>0</v>
      </c>
      <c r="L30" s="499"/>
      <c r="M30" s="499"/>
      <c r="N30" s="499"/>
      <c r="O30" s="499">
        <f t="shared" ref="O30:O39" si="38">SUM(P30:R30)</f>
        <v>0</v>
      </c>
      <c r="P30" s="499"/>
      <c r="Q30" s="499"/>
      <c r="R30" s="499"/>
      <c r="S30" s="527">
        <f t="shared" ref="S30:S39" si="39">O30+K30+G30+C30</f>
        <v>0</v>
      </c>
    </row>
    <row r="31" s="4" customFormat="1" ht="22" customHeight="1" spans="1:19">
      <c r="A31" s="503" t="s">
        <v>49</v>
      </c>
      <c r="B31" s="504"/>
      <c r="C31" s="505">
        <f t="shared" si="35"/>
        <v>0</v>
      </c>
      <c r="D31" s="505">
        <f t="shared" ref="D31:F31" si="40">SUM(D26:D30)</f>
        <v>0</v>
      </c>
      <c r="E31" s="505">
        <f t="shared" si="40"/>
        <v>0</v>
      </c>
      <c r="F31" s="505">
        <f t="shared" si="40"/>
        <v>0</v>
      </c>
      <c r="G31" s="505">
        <f t="shared" si="36"/>
        <v>0</v>
      </c>
      <c r="H31" s="505">
        <f t="shared" ref="H31:J31" si="41">SUM(H26:H30)</f>
        <v>0</v>
      </c>
      <c r="I31" s="505">
        <f t="shared" si="41"/>
        <v>0</v>
      </c>
      <c r="J31" s="505">
        <f t="shared" si="41"/>
        <v>0</v>
      </c>
      <c r="K31" s="505">
        <f t="shared" si="37"/>
        <v>0</v>
      </c>
      <c r="L31" s="505">
        <f t="shared" ref="L31:N31" si="42">SUM(L26:L30)</f>
        <v>0</v>
      </c>
      <c r="M31" s="505">
        <f t="shared" si="42"/>
        <v>0</v>
      </c>
      <c r="N31" s="505">
        <f t="shared" si="42"/>
        <v>0</v>
      </c>
      <c r="O31" s="505">
        <f t="shared" si="38"/>
        <v>0</v>
      </c>
      <c r="P31" s="505">
        <f t="shared" ref="P31:R31" si="43">SUM(P26:P30)</f>
        <v>0</v>
      </c>
      <c r="Q31" s="505">
        <f t="shared" si="43"/>
        <v>0</v>
      </c>
      <c r="R31" s="505">
        <f t="shared" si="43"/>
        <v>0</v>
      </c>
      <c r="S31" s="528">
        <f t="shared" si="39"/>
        <v>0</v>
      </c>
    </row>
    <row r="32" s="4" customFormat="1" ht="22" customHeight="1" spans="1:19">
      <c r="A32" s="498" t="s">
        <v>31</v>
      </c>
      <c r="B32" s="497"/>
      <c r="C32" s="499"/>
      <c r="D32" s="499"/>
      <c r="E32" s="499"/>
      <c r="F32" s="499"/>
      <c r="G32" s="499"/>
      <c r="H32" s="499"/>
      <c r="I32" s="499"/>
      <c r="J32" s="499"/>
      <c r="K32" s="499"/>
      <c r="L32" s="499"/>
      <c r="M32" s="499"/>
      <c r="N32" s="499"/>
      <c r="O32" s="499"/>
      <c r="P32" s="499"/>
      <c r="Q32" s="499"/>
      <c r="R32" s="499"/>
      <c r="S32" s="527"/>
    </row>
    <row r="33" s="4" customFormat="1" ht="22" customHeight="1" spans="1:19">
      <c r="A33" s="514" t="s">
        <v>50</v>
      </c>
      <c r="B33" s="502"/>
      <c r="C33" s="499">
        <f>SUM(D33:F33)</f>
        <v>0</v>
      </c>
      <c r="D33" s="499"/>
      <c r="E33" s="499"/>
      <c r="F33" s="499"/>
      <c r="G33" s="499">
        <f>SUM(H33:J33)</f>
        <v>0</v>
      </c>
      <c r="H33" s="499"/>
      <c r="I33" s="499"/>
      <c r="J33" s="499"/>
      <c r="K33" s="499">
        <f t="shared" si="37"/>
        <v>0</v>
      </c>
      <c r="L33" s="499"/>
      <c r="M33" s="499"/>
      <c r="N33" s="499"/>
      <c r="O33" s="499">
        <f>SUM(P33:R33)</f>
        <v>0</v>
      </c>
      <c r="P33" s="499"/>
      <c r="Q33" s="499"/>
      <c r="R33" s="499"/>
      <c r="S33" s="527">
        <f ca="1">O33+K33+G33+C33</f>
        <v>0</v>
      </c>
    </row>
    <row r="34" s="4" customFormat="1" ht="22" customHeight="1" spans="1:19">
      <c r="A34" s="514" t="s">
        <v>51</v>
      </c>
      <c r="B34" s="502"/>
      <c r="C34" s="499">
        <f t="shared" si="35"/>
        <v>0</v>
      </c>
      <c r="D34" s="499"/>
      <c r="E34" s="499"/>
      <c r="F34" s="499"/>
      <c r="G34" s="499">
        <f t="shared" si="36"/>
        <v>0</v>
      </c>
      <c r="H34" s="499"/>
      <c r="I34" s="499"/>
      <c r="J34" s="499"/>
      <c r="K34" s="499">
        <f t="shared" si="37"/>
        <v>0</v>
      </c>
      <c r="L34" s="499"/>
      <c r="M34" s="499"/>
      <c r="N34" s="499"/>
      <c r="O34" s="499">
        <f t="shared" si="38"/>
        <v>0</v>
      </c>
      <c r="P34" s="499"/>
      <c r="Q34" s="499"/>
      <c r="R34" s="499"/>
      <c r="S34" s="527">
        <f t="shared" si="39"/>
        <v>0</v>
      </c>
    </row>
    <row r="35" s="4" customFormat="1" ht="22" customHeight="1" spans="1:19">
      <c r="A35" s="514" t="s">
        <v>52</v>
      </c>
      <c r="B35" s="502"/>
      <c r="C35" s="499">
        <f t="shared" si="35"/>
        <v>0</v>
      </c>
      <c r="D35" s="499"/>
      <c r="E35" s="499"/>
      <c r="F35" s="499"/>
      <c r="G35" s="499">
        <f t="shared" si="36"/>
        <v>0</v>
      </c>
      <c r="H35" s="499"/>
      <c r="I35" s="499"/>
      <c r="J35" s="499"/>
      <c r="K35" s="499">
        <f t="shared" si="37"/>
        <v>0</v>
      </c>
      <c r="L35" s="499"/>
      <c r="M35" s="499"/>
      <c r="N35" s="499"/>
      <c r="O35" s="499">
        <f t="shared" si="38"/>
        <v>0</v>
      </c>
      <c r="P35" s="499"/>
      <c r="Q35" s="499"/>
      <c r="R35" s="499"/>
      <c r="S35" s="527">
        <f t="shared" si="39"/>
        <v>0</v>
      </c>
    </row>
    <row r="36" s="4" customFormat="1" ht="22" customHeight="1" spans="1:19">
      <c r="A36" s="507" t="s">
        <v>53</v>
      </c>
      <c r="B36" s="502"/>
      <c r="C36" s="499">
        <f t="shared" si="35"/>
        <v>0</v>
      </c>
      <c r="D36" s="499"/>
      <c r="E36" s="499"/>
      <c r="F36" s="499"/>
      <c r="G36" s="499">
        <f t="shared" si="36"/>
        <v>0</v>
      </c>
      <c r="H36" s="499"/>
      <c r="I36" s="499"/>
      <c r="J36" s="499"/>
      <c r="K36" s="499">
        <f t="shared" si="37"/>
        <v>0</v>
      </c>
      <c r="L36" s="499"/>
      <c r="M36" s="499"/>
      <c r="N36" s="499"/>
      <c r="O36" s="499">
        <f t="shared" si="38"/>
        <v>0</v>
      </c>
      <c r="P36" s="499"/>
      <c r="Q36" s="499"/>
      <c r="R36" s="499"/>
      <c r="S36" s="527">
        <f t="shared" si="39"/>
        <v>0</v>
      </c>
    </row>
    <row r="37" s="4" customFormat="1" ht="22" customHeight="1" spans="1:19">
      <c r="A37" s="507" t="s">
        <v>54</v>
      </c>
      <c r="B37" s="502"/>
      <c r="C37" s="499">
        <f t="shared" si="35"/>
        <v>0</v>
      </c>
      <c r="D37" s="499"/>
      <c r="E37" s="499"/>
      <c r="F37" s="499"/>
      <c r="G37" s="499">
        <f t="shared" si="36"/>
        <v>0</v>
      </c>
      <c r="H37" s="499"/>
      <c r="I37" s="499"/>
      <c r="J37" s="499"/>
      <c r="K37" s="499">
        <f t="shared" si="37"/>
        <v>0</v>
      </c>
      <c r="L37" s="499"/>
      <c r="M37" s="499"/>
      <c r="N37" s="499"/>
      <c r="O37" s="499">
        <f t="shared" si="38"/>
        <v>0</v>
      </c>
      <c r="P37" s="499"/>
      <c r="Q37" s="499"/>
      <c r="R37" s="499"/>
      <c r="S37" s="527">
        <f t="shared" si="39"/>
        <v>0</v>
      </c>
    </row>
    <row r="38" s="4" customFormat="1" ht="22" customHeight="1" spans="1:19">
      <c r="A38" s="511" t="s">
        <v>55</v>
      </c>
      <c r="B38" s="504"/>
      <c r="C38" s="505">
        <f t="shared" si="35"/>
        <v>0</v>
      </c>
      <c r="D38" s="505">
        <f t="shared" ref="D38:F38" si="44">SUM(D33:D37)</f>
        <v>0</v>
      </c>
      <c r="E38" s="505">
        <f t="shared" si="44"/>
        <v>0</v>
      </c>
      <c r="F38" s="505">
        <f t="shared" si="44"/>
        <v>0</v>
      </c>
      <c r="G38" s="505">
        <f t="shared" si="36"/>
        <v>0</v>
      </c>
      <c r="H38" s="505">
        <f t="shared" ref="H38:J38" si="45">SUM(H33:H37)</f>
        <v>0</v>
      </c>
      <c r="I38" s="505">
        <f t="shared" si="45"/>
        <v>0</v>
      </c>
      <c r="J38" s="505">
        <f t="shared" si="45"/>
        <v>0</v>
      </c>
      <c r="K38" s="505">
        <f t="shared" si="37"/>
        <v>0</v>
      </c>
      <c r="L38" s="505">
        <f t="shared" ref="L38:N38" si="46">SUM(L33:L37)</f>
        <v>0</v>
      </c>
      <c r="M38" s="505">
        <f t="shared" si="46"/>
        <v>0</v>
      </c>
      <c r="N38" s="505">
        <f t="shared" si="46"/>
        <v>0</v>
      </c>
      <c r="O38" s="505">
        <f t="shared" si="38"/>
        <v>0</v>
      </c>
      <c r="P38" s="505">
        <f t="shared" ref="P38:R38" si="47">SUM(P33:P37)</f>
        <v>0</v>
      </c>
      <c r="Q38" s="505">
        <f t="shared" si="47"/>
        <v>0</v>
      </c>
      <c r="R38" s="505">
        <f t="shared" si="47"/>
        <v>0</v>
      </c>
      <c r="S38" s="528">
        <f t="shared" si="39"/>
        <v>0</v>
      </c>
    </row>
    <row r="39" s="4" customFormat="1" ht="22" customHeight="1" spans="1:19">
      <c r="A39" s="512" t="s">
        <v>56</v>
      </c>
      <c r="B39" s="497"/>
      <c r="C39" s="499">
        <f t="shared" si="35"/>
        <v>0</v>
      </c>
      <c r="D39" s="499">
        <f t="shared" ref="D39:F39" si="48">D31-D38</f>
        <v>0</v>
      </c>
      <c r="E39" s="499">
        <f t="shared" si="48"/>
        <v>0</v>
      </c>
      <c r="F39" s="499">
        <f t="shared" si="48"/>
        <v>0</v>
      </c>
      <c r="G39" s="499">
        <f t="shared" si="36"/>
        <v>0</v>
      </c>
      <c r="H39" s="499">
        <f t="shared" ref="H39:J39" si="49">H31-H38</f>
        <v>0</v>
      </c>
      <c r="I39" s="499">
        <f t="shared" si="49"/>
        <v>0</v>
      </c>
      <c r="J39" s="499">
        <f t="shared" si="49"/>
        <v>0</v>
      </c>
      <c r="K39" s="499">
        <f t="shared" si="37"/>
        <v>0</v>
      </c>
      <c r="L39" s="499">
        <f t="shared" ref="L39:N39" si="50">L31-L38</f>
        <v>0</v>
      </c>
      <c r="M39" s="499">
        <f t="shared" si="50"/>
        <v>0</v>
      </c>
      <c r="N39" s="499">
        <f t="shared" si="50"/>
        <v>0</v>
      </c>
      <c r="O39" s="499">
        <f t="shared" si="38"/>
        <v>0</v>
      </c>
      <c r="P39" s="499">
        <f t="shared" ref="P39:R39" si="51">P31-P38</f>
        <v>0</v>
      </c>
      <c r="Q39" s="499">
        <f t="shared" si="51"/>
        <v>0</v>
      </c>
      <c r="R39" s="499">
        <f t="shared" si="51"/>
        <v>0</v>
      </c>
      <c r="S39" s="527">
        <f t="shared" si="39"/>
        <v>0</v>
      </c>
    </row>
    <row r="40" s="4" customFormat="1" ht="22" customHeight="1" spans="1:19">
      <c r="A40" s="496" t="s">
        <v>57</v>
      </c>
      <c r="B40" s="497"/>
      <c r="C40" s="499"/>
      <c r="D40" s="499"/>
      <c r="E40" s="499"/>
      <c r="F40" s="499"/>
      <c r="G40" s="499"/>
      <c r="H40" s="499"/>
      <c r="I40" s="499"/>
      <c r="J40" s="499"/>
      <c r="K40" s="499"/>
      <c r="L40" s="499"/>
      <c r="M40" s="499"/>
      <c r="N40" s="499"/>
      <c r="O40" s="499"/>
      <c r="P40" s="499"/>
      <c r="Q40" s="499"/>
      <c r="R40" s="499"/>
      <c r="S40" s="527"/>
    </row>
    <row r="41" s="4" customFormat="1" ht="22" customHeight="1" spans="1:19">
      <c r="A41" s="498" t="s">
        <v>58</v>
      </c>
      <c r="B41" s="502"/>
      <c r="C41" s="499">
        <f t="shared" ref="C41:C53" si="52">SUM(D41:F41)</f>
        <v>0</v>
      </c>
      <c r="D41" s="499"/>
      <c r="E41" s="499"/>
      <c r="F41" s="499"/>
      <c r="G41" s="499">
        <f t="shared" ref="G41:G53" si="53">SUM(H41:J41)</f>
        <v>0</v>
      </c>
      <c r="H41" s="499"/>
      <c r="I41" s="499"/>
      <c r="J41" s="499"/>
      <c r="K41" s="499">
        <f t="shared" ref="K41:K53" si="54">SUM(L41:N41)</f>
        <v>0</v>
      </c>
      <c r="L41" s="499"/>
      <c r="M41" s="499"/>
      <c r="N41" s="499"/>
      <c r="O41" s="499">
        <f t="shared" ref="O41:O53" si="55">SUM(P41:R41)</f>
        <v>0</v>
      </c>
      <c r="P41" s="499"/>
      <c r="Q41" s="499"/>
      <c r="R41" s="499"/>
      <c r="S41" s="527">
        <f t="shared" ref="S41:S53" si="56">O41+K41+G41+C41</f>
        <v>0</v>
      </c>
    </row>
    <row r="42" s="4" customFormat="1" ht="22" customHeight="1" spans="1:19">
      <c r="A42" s="498" t="s">
        <v>59</v>
      </c>
      <c r="B42" s="502"/>
      <c r="C42" s="499">
        <f t="shared" si="52"/>
        <v>0</v>
      </c>
      <c r="D42" s="499"/>
      <c r="E42" s="499"/>
      <c r="F42" s="499"/>
      <c r="G42" s="499">
        <f t="shared" si="53"/>
        <v>0</v>
      </c>
      <c r="H42" s="499"/>
      <c r="I42" s="499"/>
      <c r="J42" s="499"/>
      <c r="K42" s="499">
        <f t="shared" si="54"/>
        <v>0</v>
      </c>
      <c r="L42" s="499"/>
      <c r="M42" s="499"/>
      <c r="N42" s="499"/>
      <c r="O42" s="499">
        <f t="shared" si="55"/>
        <v>0</v>
      </c>
      <c r="P42" s="499"/>
      <c r="Q42" s="499"/>
      <c r="R42" s="499"/>
      <c r="S42" s="527">
        <f t="shared" si="56"/>
        <v>0</v>
      </c>
    </row>
    <row r="43" s="4" customFormat="1" ht="22" customHeight="1" spans="1:19">
      <c r="A43" s="498" t="s">
        <v>60</v>
      </c>
      <c r="B43" s="502"/>
      <c r="C43" s="499">
        <f t="shared" si="52"/>
        <v>0</v>
      </c>
      <c r="D43" s="499"/>
      <c r="E43" s="499"/>
      <c r="F43" s="499"/>
      <c r="G43" s="499">
        <f t="shared" si="53"/>
        <v>0</v>
      </c>
      <c r="H43" s="499"/>
      <c r="I43" s="499"/>
      <c r="J43" s="499"/>
      <c r="K43" s="499">
        <f t="shared" si="54"/>
        <v>0</v>
      </c>
      <c r="L43" s="499"/>
      <c r="M43" s="499"/>
      <c r="N43" s="499"/>
      <c r="O43" s="499">
        <f t="shared" si="55"/>
        <v>0</v>
      </c>
      <c r="P43" s="499"/>
      <c r="Q43" s="499"/>
      <c r="R43" s="499"/>
      <c r="S43" s="527">
        <f t="shared" si="56"/>
        <v>0</v>
      </c>
    </row>
    <row r="44" s="4" customFormat="1" ht="22" customHeight="1" spans="1:19">
      <c r="A44" s="503" t="s">
        <v>61</v>
      </c>
      <c r="B44" s="504"/>
      <c r="C44" s="505">
        <f t="shared" si="52"/>
        <v>0</v>
      </c>
      <c r="D44" s="505">
        <f t="shared" ref="D44:F44" si="57">SUM(D41:D43)</f>
        <v>0</v>
      </c>
      <c r="E44" s="505">
        <f t="shared" si="57"/>
        <v>0</v>
      </c>
      <c r="F44" s="505">
        <f t="shared" si="57"/>
        <v>0</v>
      </c>
      <c r="G44" s="505">
        <f t="shared" si="53"/>
        <v>0</v>
      </c>
      <c r="H44" s="505">
        <f t="shared" ref="H44:J44" si="58">SUM(H41:H43)</f>
        <v>0</v>
      </c>
      <c r="I44" s="505">
        <f t="shared" si="58"/>
        <v>0</v>
      </c>
      <c r="J44" s="505">
        <f t="shared" si="58"/>
        <v>0</v>
      </c>
      <c r="K44" s="505">
        <f t="shared" si="54"/>
        <v>0</v>
      </c>
      <c r="L44" s="505">
        <f t="shared" ref="L44:N44" si="59">SUM(L41:L43)</f>
        <v>0</v>
      </c>
      <c r="M44" s="505">
        <f t="shared" si="59"/>
        <v>0</v>
      </c>
      <c r="N44" s="505">
        <f t="shared" si="59"/>
        <v>0</v>
      </c>
      <c r="O44" s="505">
        <f t="shared" si="55"/>
        <v>0</v>
      </c>
      <c r="P44" s="505">
        <f t="shared" ref="P44:R44" si="60">SUM(P41:P43)</f>
        <v>0</v>
      </c>
      <c r="Q44" s="505">
        <f t="shared" si="60"/>
        <v>0</v>
      </c>
      <c r="R44" s="505">
        <f t="shared" si="60"/>
        <v>0</v>
      </c>
      <c r="S44" s="528">
        <f t="shared" si="56"/>
        <v>0</v>
      </c>
    </row>
    <row r="45" s="4" customFormat="1" ht="22" customHeight="1" spans="1:19">
      <c r="A45" s="507" t="s">
        <v>62</v>
      </c>
      <c r="B45" s="502"/>
      <c r="C45" s="499">
        <f t="shared" si="52"/>
        <v>0</v>
      </c>
      <c r="D45" s="499"/>
      <c r="E45" s="499"/>
      <c r="F45" s="499"/>
      <c r="G45" s="499">
        <f t="shared" si="53"/>
        <v>0</v>
      </c>
      <c r="H45" s="499"/>
      <c r="I45" s="499"/>
      <c r="J45" s="499"/>
      <c r="K45" s="499">
        <f t="shared" si="54"/>
        <v>0</v>
      </c>
      <c r="L45" s="499"/>
      <c r="M45" s="499"/>
      <c r="N45" s="499"/>
      <c r="O45" s="499">
        <f t="shared" si="55"/>
        <v>0</v>
      </c>
      <c r="P45" s="499"/>
      <c r="Q45" s="499"/>
      <c r="R45" s="499"/>
      <c r="S45" s="527">
        <f t="shared" si="56"/>
        <v>0</v>
      </c>
    </row>
    <row r="46" s="4" customFormat="1" ht="22" customHeight="1" spans="1:19">
      <c r="A46" s="498" t="s">
        <v>63</v>
      </c>
      <c r="B46" s="515"/>
      <c r="C46" s="499">
        <f t="shared" si="52"/>
        <v>0</v>
      </c>
      <c r="D46" s="499"/>
      <c r="E46" s="499"/>
      <c r="F46" s="499"/>
      <c r="G46" s="499">
        <f t="shared" si="53"/>
        <v>0</v>
      </c>
      <c r="H46" s="499"/>
      <c r="I46" s="499"/>
      <c r="J46" s="499"/>
      <c r="K46" s="499">
        <f t="shared" si="54"/>
        <v>0</v>
      </c>
      <c r="L46" s="499"/>
      <c r="M46" s="499"/>
      <c r="N46" s="499"/>
      <c r="O46" s="499">
        <f t="shared" si="55"/>
        <v>0</v>
      </c>
      <c r="P46" s="499"/>
      <c r="Q46" s="499"/>
      <c r="R46" s="499"/>
      <c r="S46" s="527">
        <f t="shared" si="56"/>
        <v>0</v>
      </c>
    </row>
    <row r="47" s="4" customFormat="1" ht="22" customHeight="1" spans="1:19">
      <c r="A47" s="507" t="s">
        <v>64</v>
      </c>
      <c r="B47" s="502"/>
      <c r="C47" s="499">
        <f t="shared" si="52"/>
        <v>0</v>
      </c>
      <c r="D47" s="499"/>
      <c r="E47" s="499"/>
      <c r="F47" s="499"/>
      <c r="G47" s="499">
        <f t="shared" si="53"/>
        <v>0</v>
      </c>
      <c r="H47" s="499"/>
      <c r="I47" s="499"/>
      <c r="J47" s="499"/>
      <c r="K47" s="499">
        <f t="shared" si="54"/>
        <v>0</v>
      </c>
      <c r="L47" s="499"/>
      <c r="M47" s="499"/>
      <c r="N47" s="499"/>
      <c r="O47" s="499">
        <f t="shared" si="55"/>
        <v>0</v>
      </c>
      <c r="P47" s="499"/>
      <c r="Q47" s="499"/>
      <c r="R47" s="499"/>
      <c r="S47" s="527">
        <f t="shared" si="56"/>
        <v>0</v>
      </c>
    </row>
    <row r="48" s="4" customFormat="1" ht="22" customHeight="1" spans="1:19">
      <c r="A48" s="507" t="s">
        <v>65</v>
      </c>
      <c r="B48" s="502"/>
      <c r="C48" s="499">
        <f t="shared" si="52"/>
        <v>0</v>
      </c>
      <c r="D48" s="499"/>
      <c r="E48" s="499"/>
      <c r="F48" s="499"/>
      <c r="G48" s="499">
        <f t="shared" si="53"/>
        <v>0</v>
      </c>
      <c r="H48" s="499"/>
      <c r="I48" s="499"/>
      <c r="J48" s="499"/>
      <c r="K48" s="499">
        <f t="shared" si="54"/>
        <v>0</v>
      </c>
      <c r="L48" s="499"/>
      <c r="M48" s="499"/>
      <c r="N48" s="499"/>
      <c r="O48" s="499">
        <f t="shared" si="55"/>
        <v>0</v>
      </c>
      <c r="P48" s="499"/>
      <c r="Q48" s="499"/>
      <c r="R48" s="499"/>
      <c r="S48" s="527">
        <f t="shared" si="56"/>
        <v>0</v>
      </c>
    </row>
    <row r="49" s="4" customFormat="1" ht="22" customHeight="1" spans="1:19">
      <c r="A49" s="511" t="s">
        <v>66</v>
      </c>
      <c r="B49" s="504"/>
      <c r="C49" s="505">
        <f t="shared" si="52"/>
        <v>0</v>
      </c>
      <c r="D49" s="505">
        <f t="shared" ref="D49:F49" si="61">SUM(D45:D48)</f>
        <v>0</v>
      </c>
      <c r="E49" s="505">
        <f t="shared" si="61"/>
        <v>0</v>
      </c>
      <c r="F49" s="505">
        <f t="shared" si="61"/>
        <v>0</v>
      </c>
      <c r="G49" s="505">
        <f t="shared" si="53"/>
        <v>0</v>
      </c>
      <c r="H49" s="505">
        <f t="shared" ref="H49:J49" si="62">SUM(H45:H48)</f>
        <v>0</v>
      </c>
      <c r="I49" s="505">
        <f t="shared" si="62"/>
        <v>0</v>
      </c>
      <c r="J49" s="505">
        <f t="shared" si="62"/>
        <v>0</v>
      </c>
      <c r="K49" s="505">
        <f t="shared" si="54"/>
        <v>0</v>
      </c>
      <c r="L49" s="505">
        <f t="shared" ref="L49:N49" si="63">SUM(L45:L48)</f>
        <v>0</v>
      </c>
      <c r="M49" s="505">
        <f t="shared" si="63"/>
        <v>0</v>
      </c>
      <c r="N49" s="505">
        <f t="shared" si="63"/>
        <v>0</v>
      </c>
      <c r="O49" s="505">
        <f t="shared" si="55"/>
        <v>0</v>
      </c>
      <c r="P49" s="505">
        <f t="shared" ref="P49:R49" si="64">SUM(P45:P48)</f>
        <v>0</v>
      </c>
      <c r="Q49" s="505">
        <f t="shared" si="64"/>
        <v>0</v>
      </c>
      <c r="R49" s="505">
        <f t="shared" si="64"/>
        <v>0</v>
      </c>
      <c r="S49" s="528">
        <f t="shared" si="56"/>
        <v>0</v>
      </c>
    </row>
    <row r="50" s="4" customFormat="1" ht="22" customHeight="1" spans="1:19">
      <c r="A50" s="512" t="s">
        <v>67</v>
      </c>
      <c r="B50" s="497"/>
      <c r="C50" s="499">
        <f t="shared" si="52"/>
        <v>0</v>
      </c>
      <c r="D50" s="499">
        <f t="shared" ref="D50:F50" si="65">D44-D49</f>
        <v>0</v>
      </c>
      <c r="E50" s="499">
        <f t="shared" si="65"/>
        <v>0</v>
      </c>
      <c r="F50" s="499">
        <f t="shared" si="65"/>
        <v>0</v>
      </c>
      <c r="G50" s="499">
        <f t="shared" si="53"/>
        <v>0</v>
      </c>
      <c r="H50" s="499">
        <f t="shared" ref="H50:J50" si="66">H44-H49</f>
        <v>0</v>
      </c>
      <c r="I50" s="499">
        <f t="shared" si="66"/>
        <v>0</v>
      </c>
      <c r="J50" s="499">
        <f t="shared" si="66"/>
        <v>0</v>
      </c>
      <c r="K50" s="499">
        <f t="shared" si="54"/>
        <v>0</v>
      </c>
      <c r="L50" s="499">
        <f t="shared" ref="L50:N50" si="67">L44-L49</f>
        <v>0</v>
      </c>
      <c r="M50" s="499">
        <f t="shared" si="67"/>
        <v>0</v>
      </c>
      <c r="N50" s="499">
        <f t="shared" si="67"/>
        <v>0</v>
      </c>
      <c r="O50" s="499">
        <f t="shared" si="55"/>
        <v>0</v>
      </c>
      <c r="P50" s="499">
        <f t="shared" ref="P50:R50" si="68">P44-P49</f>
        <v>0</v>
      </c>
      <c r="Q50" s="499">
        <f t="shared" si="68"/>
        <v>0</v>
      </c>
      <c r="R50" s="499">
        <f t="shared" si="68"/>
        <v>0</v>
      </c>
      <c r="S50" s="527">
        <f t="shared" si="56"/>
        <v>0</v>
      </c>
    </row>
    <row r="51" s="4" customFormat="1" ht="22" customHeight="1" spans="1:19">
      <c r="A51" s="511" t="s">
        <v>68</v>
      </c>
      <c r="B51" s="504"/>
      <c r="C51" s="505">
        <f t="shared" si="52"/>
        <v>0</v>
      </c>
      <c r="D51" s="505">
        <f t="shared" ref="D51:F51" si="69">D22+D38+D49</f>
        <v>0</v>
      </c>
      <c r="E51" s="505">
        <f t="shared" si="69"/>
        <v>0</v>
      </c>
      <c r="F51" s="505">
        <f t="shared" si="69"/>
        <v>0</v>
      </c>
      <c r="G51" s="505">
        <f t="shared" si="53"/>
        <v>0</v>
      </c>
      <c r="H51" s="505">
        <f t="shared" ref="H51:J51" si="70">H22+H38+H49</f>
        <v>0</v>
      </c>
      <c r="I51" s="505">
        <f t="shared" si="70"/>
        <v>0</v>
      </c>
      <c r="J51" s="505">
        <f t="shared" si="70"/>
        <v>0</v>
      </c>
      <c r="K51" s="505">
        <f t="shared" si="54"/>
        <v>0</v>
      </c>
      <c r="L51" s="505">
        <f t="shared" ref="L51:N51" si="71">L22+L38+L49</f>
        <v>0</v>
      </c>
      <c r="M51" s="505">
        <f t="shared" si="71"/>
        <v>0</v>
      </c>
      <c r="N51" s="505">
        <f t="shared" si="71"/>
        <v>0</v>
      </c>
      <c r="O51" s="505">
        <f t="shared" si="55"/>
        <v>0</v>
      </c>
      <c r="P51" s="505">
        <f t="shared" ref="P51:R51" si="72">P22+P38+P49</f>
        <v>0</v>
      </c>
      <c r="Q51" s="505">
        <f t="shared" si="72"/>
        <v>0</v>
      </c>
      <c r="R51" s="505">
        <f t="shared" si="72"/>
        <v>0</v>
      </c>
      <c r="S51" s="528">
        <f t="shared" si="56"/>
        <v>0</v>
      </c>
    </row>
    <row r="52" s="4" customFormat="1" ht="22" customHeight="1" spans="1:19">
      <c r="A52" s="516" t="s">
        <v>69</v>
      </c>
      <c r="B52" s="504"/>
      <c r="C52" s="505">
        <f t="shared" si="52"/>
        <v>0</v>
      </c>
      <c r="D52" s="505">
        <f t="shared" ref="D52:F52" si="73">D11+D31+D44</f>
        <v>0</v>
      </c>
      <c r="E52" s="505">
        <f t="shared" si="73"/>
        <v>0</v>
      </c>
      <c r="F52" s="505">
        <f t="shared" si="73"/>
        <v>0</v>
      </c>
      <c r="G52" s="505">
        <f t="shared" si="53"/>
        <v>0</v>
      </c>
      <c r="H52" s="505">
        <f t="shared" ref="H52:J52" si="74">H11+H31+H44</f>
        <v>0</v>
      </c>
      <c r="I52" s="505">
        <f t="shared" si="74"/>
        <v>0</v>
      </c>
      <c r="J52" s="505">
        <f t="shared" si="74"/>
        <v>0</v>
      </c>
      <c r="K52" s="505">
        <f t="shared" si="54"/>
        <v>0</v>
      </c>
      <c r="L52" s="505">
        <f t="shared" ref="L52:N52" si="75">L11+L31+L44</f>
        <v>0</v>
      </c>
      <c r="M52" s="505">
        <f t="shared" si="75"/>
        <v>0</v>
      </c>
      <c r="N52" s="505">
        <f t="shared" si="75"/>
        <v>0</v>
      </c>
      <c r="O52" s="505">
        <f t="shared" si="55"/>
        <v>0</v>
      </c>
      <c r="P52" s="505">
        <f t="shared" ref="P52:R52" si="76">P11+P31+P44</f>
        <v>0</v>
      </c>
      <c r="Q52" s="505">
        <f t="shared" si="76"/>
        <v>0</v>
      </c>
      <c r="R52" s="505">
        <f t="shared" si="76"/>
        <v>0</v>
      </c>
      <c r="S52" s="528">
        <f t="shared" si="56"/>
        <v>0</v>
      </c>
    </row>
    <row r="53" s="4" customFormat="1" ht="22" customHeight="1" spans="1:19">
      <c r="A53" s="517" t="s">
        <v>70</v>
      </c>
      <c r="B53" s="497"/>
      <c r="C53" s="499">
        <f t="shared" si="52"/>
        <v>0</v>
      </c>
      <c r="D53" s="499">
        <f t="shared" ref="D53:F53" si="77">D52-D51</f>
        <v>0</v>
      </c>
      <c r="E53" s="499">
        <f t="shared" si="77"/>
        <v>0</v>
      </c>
      <c r="F53" s="499">
        <f t="shared" si="77"/>
        <v>0</v>
      </c>
      <c r="G53" s="499">
        <f t="shared" si="53"/>
        <v>0</v>
      </c>
      <c r="H53" s="499">
        <f t="shared" ref="H53:J53" si="78">H52-H51</f>
        <v>0</v>
      </c>
      <c r="I53" s="499">
        <f t="shared" si="78"/>
        <v>0</v>
      </c>
      <c r="J53" s="499">
        <f t="shared" si="78"/>
        <v>0</v>
      </c>
      <c r="K53" s="499">
        <f t="shared" si="54"/>
        <v>0</v>
      </c>
      <c r="L53" s="499">
        <f t="shared" ref="L53:N53" si="79">L52-L51</f>
        <v>0</v>
      </c>
      <c r="M53" s="499">
        <f t="shared" si="79"/>
        <v>0</v>
      </c>
      <c r="N53" s="499">
        <f t="shared" si="79"/>
        <v>0</v>
      </c>
      <c r="O53" s="499">
        <f t="shared" si="55"/>
        <v>0</v>
      </c>
      <c r="P53" s="499">
        <f t="shared" ref="P53:R53" si="80">P52-P51</f>
        <v>0</v>
      </c>
      <c r="Q53" s="499">
        <f t="shared" si="80"/>
        <v>0</v>
      </c>
      <c r="R53" s="499">
        <f t="shared" si="80"/>
        <v>0</v>
      </c>
      <c r="S53" s="527">
        <f t="shared" si="56"/>
        <v>0</v>
      </c>
    </row>
    <row r="54" s="4" customFormat="1" ht="22" customHeight="1" spans="1:19">
      <c r="A54" s="517" t="s">
        <v>71</v>
      </c>
      <c r="B54" s="497"/>
      <c r="C54" s="499">
        <v>0</v>
      </c>
      <c r="D54" s="499">
        <f>C54</f>
        <v>0</v>
      </c>
      <c r="E54" s="499">
        <f t="shared" ref="E54:J54" si="81">D55</f>
        <v>0</v>
      </c>
      <c r="F54" s="499">
        <f t="shared" si="81"/>
        <v>0</v>
      </c>
      <c r="G54" s="499">
        <f>J54</f>
        <v>0</v>
      </c>
      <c r="H54" s="499">
        <f>F55</f>
        <v>0</v>
      </c>
      <c r="I54" s="499">
        <f t="shared" si="81"/>
        <v>0</v>
      </c>
      <c r="J54" s="499">
        <f t="shared" si="81"/>
        <v>0</v>
      </c>
      <c r="K54" s="499">
        <f>N54</f>
        <v>0</v>
      </c>
      <c r="L54" s="499">
        <f>J55</f>
        <v>0</v>
      </c>
      <c r="M54" s="499">
        <f t="shared" ref="M54:R54" si="82">L55</f>
        <v>0</v>
      </c>
      <c r="N54" s="499">
        <f t="shared" si="82"/>
        <v>0</v>
      </c>
      <c r="O54" s="499">
        <f>R54</f>
        <v>0</v>
      </c>
      <c r="P54" s="499">
        <f>N55</f>
        <v>0</v>
      </c>
      <c r="Q54" s="499">
        <f t="shared" si="82"/>
        <v>0</v>
      </c>
      <c r="R54" s="499">
        <f t="shared" si="82"/>
        <v>0</v>
      </c>
      <c r="S54" s="527">
        <f>D54</f>
        <v>0</v>
      </c>
    </row>
    <row r="55" s="4" customFormat="1" ht="22" customHeight="1" spans="1:19">
      <c r="A55" s="518" t="s">
        <v>72</v>
      </c>
      <c r="B55" s="519"/>
      <c r="C55" s="520">
        <f>F55</f>
        <v>0</v>
      </c>
      <c r="D55" s="520">
        <f t="shared" ref="D55:F55" si="83">D53+D54</f>
        <v>0</v>
      </c>
      <c r="E55" s="520">
        <f t="shared" si="83"/>
        <v>0</v>
      </c>
      <c r="F55" s="520">
        <f t="shared" si="83"/>
        <v>0</v>
      </c>
      <c r="G55" s="520">
        <f>J55</f>
        <v>0</v>
      </c>
      <c r="H55" s="520">
        <f t="shared" ref="H55:J55" si="84">H53+H54</f>
        <v>0</v>
      </c>
      <c r="I55" s="520">
        <f t="shared" si="84"/>
        <v>0</v>
      </c>
      <c r="J55" s="520">
        <f t="shared" si="84"/>
        <v>0</v>
      </c>
      <c r="K55" s="520">
        <f>N55</f>
        <v>0</v>
      </c>
      <c r="L55" s="520">
        <f t="shared" ref="L55:N55" si="85">L53+L54</f>
        <v>0</v>
      </c>
      <c r="M55" s="520">
        <f t="shared" si="85"/>
        <v>0</v>
      </c>
      <c r="N55" s="520">
        <f t="shared" si="85"/>
        <v>0</v>
      </c>
      <c r="O55" s="520">
        <f>R55</f>
        <v>0</v>
      </c>
      <c r="P55" s="520">
        <f t="shared" ref="P55:S55" si="86">P53+P54</f>
        <v>0</v>
      </c>
      <c r="Q55" s="520">
        <f t="shared" si="86"/>
        <v>0</v>
      </c>
      <c r="R55" s="520">
        <f t="shared" si="86"/>
        <v>0</v>
      </c>
      <c r="S55" s="529">
        <f t="shared" si="86"/>
        <v>0</v>
      </c>
    </row>
  </sheetData>
  <mergeCells count="1">
    <mergeCell ref="A1:S1"/>
  </mergeCells>
  <pageMargins left="0.75" right="0.75" top="1" bottom="1" header="0.5" footer="0.5"/>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Y42"/>
  <sheetViews>
    <sheetView showGridLines="0" workbookViewId="0">
      <selection activeCell="A1" sqref="A1:Y1"/>
    </sheetView>
  </sheetViews>
  <sheetFormatPr defaultColWidth="8.66666666666667" defaultRowHeight="14.25"/>
  <cols>
    <col min="1" max="1" width="16.4166666666667" customWidth="1"/>
    <col min="2" max="2" width="11.6666666666667" customWidth="1"/>
    <col min="3" max="3" width="10.25" customWidth="1"/>
    <col min="21" max="21" width="11.6666666666667" customWidth="1"/>
    <col min="22" max="22" width="11.25" customWidth="1"/>
    <col min="25" max="25" width="11.8333333333333" customWidth="1"/>
  </cols>
  <sheetData>
    <row r="1" ht="32" customHeight="1" spans="1:25">
      <c r="A1" s="182" t="s">
        <v>73</v>
      </c>
      <c r="B1" s="182"/>
      <c r="C1" s="182"/>
      <c r="D1" s="182"/>
      <c r="E1" s="182"/>
      <c r="F1" s="182"/>
      <c r="G1" s="182"/>
      <c r="H1" s="182"/>
      <c r="I1" s="182"/>
      <c r="J1" s="182"/>
      <c r="K1" s="182"/>
      <c r="L1" s="182"/>
      <c r="M1" s="182"/>
      <c r="N1" s="182"/>
      <c r="O1" s="182"/>
      <c r="P1" s="182"/>
      <c r="Q1" s="182"/>
      <c r="R1" s="182"/>
      <c r="S1" s="182"/>
      <c r="T1" s="182"/>
      <c r="U1" s="182"/>
      <c r="V1" s="182"/>
      <c r="W1" s="182"/>
      <c r="X1" s="182"/>
      <c r="Y1" s="182"/>
    </row>
    <row r="2" s="1" customFormat="1" ht="23" customHeight="1" spans="1:21">
      <c r="A2" s="1" t="s">
        <v>1</v>
      </c>
      <c r="L2" s="1" t="s">
        <v>2</v>
      </c>
      <c r="U2" s="1" t="s">
        <v>3</v>
      </c>
    </row>
    <row r="3" s="422" customFormat="1" ht="22" customHeight="1" spans="1:25">
      <c r="A3" s="423" t="s">
        <v>74</v>
      </c>
      <c r="B3" s="183" t="s">
        <v>75</v>
      </c>
      <c r="C3" s="9" t="s">
        <v>76</v>
      </c>
      <c r="D3" s="101" t="s">
        <v>77</v>
      </c>
      <c r="E3" s="102"/>
      <c r="F3" s="102"/>
      <c r="G3" s="102"/>
      <c r="H3" s="102"/>
      <c r="I3" s="102"/>
      <c r="J3" s="102"/>
      <c r="K3" s="102"/>
      <c r="L3" s="102"/>
      <c r="M3" s="102"/>
      <c r="N3" s="102"/>
      <c r="O3" s="102"/>
      <c r="P3" s="102"/>
      <c r="Q3" s="102"/>
      <c r="R3" s="102"/>
      <c r="S3" s="102"/>
      <c r="T3" s="120"/>
      <c r="U3" s="459" t="s">
        <v>78</v>
      </c>
      <c r="V3" s="101"/>
      <c r="W3" s="35" t="s">
        <v>79</v>
      </c>
      <c r="X3" s="35" t="s">
        <v>80</v>
      </c>
      <c r="Y3" s="481" t="s">
        <v>81</v>
      </c>
    </row>
    <row r="4" s="422" customFormat="1" ht="22" customHeight="1" spans="1:25">
      <c r="A4" s="424"/>
      <c r="B4" s="425"/>
      <c r="C4" s="11"/>
      <c r="D4" s="426" t="s">
        <v>82</v>
      </c>
      <c r="E4" s="427" t="s">
        <v>83</v>
      </c>
      <c r="F4" s="427" t="s">
        <v>84</v>
      </c>
      <c r="G4" s="428" t="s">
        <v>85</v>
      </c>
      <c r="H4" s="429" t="s">
        <v>86</v>
      </c>
      <c r="I4" s="427" t="s">
        <v>87</v>
      </c>
      <c r="J4" s="427" t="s">
        <v>88</v>
      </c>
      <c r="K4" s="458" t="s">
        <v>89</v>
      </c>
      <c r="L4" s="426" t="s">
        <v>90</v>
      </c>
      <c r="M4" s="427" t="s">
        <v>91</v>
      </c>
      <c r="N4" s="427" t="s">
        <v>92</v>
      </c>
      <c r="O4" s="428" t="s">
        <v>93</v>
      </c>
      <c r="P4" s="429" t="s">
        <v>94</v>
      </c>
      <c r="Q4" s="460" t="s">
        <v>95</v>
      </c>
      <c r="R4" s="460" t="s">
        <v>96</v>
      </c>
      <c r="S4" s="461" t="s">
        <v>97</v>
      </c>
      <c r="T4" s="462" t="s">
        <v>98</v>
      </c>
      <c r="U4" s="463" t="s">
        <v>99</v>
      </c>
      <c r="V4" s="39" t="s">
        <v>100</v>
      </c>
      <c r="W4" s="39"/>
      <c r="X4" s="39"/>
      <c r="Y4" s="482"/>
    </row>
    <row r="5" ht="22" customHeight="1" spans="1:25">
      <c r="A5" s="430" t="s">
        <v>101</v>
      </c>
      <c r="B5" s="431"/>
      <c r="C5" s="432"/>
      <c r="D5" s="433"/>
      <c r="E5" s="432"/>
      <c r="F5" s="432"/>
      <c r="G5" s="432"/>
      <c r="H5" s="433"/>
      <c r="I5" s="432"/>
      <c r="J5" s="432"/>
      <c r="K5" s="432"/>
      <c r="L5" s="433"/>
      <c r="M5" s="432"/>
      <c r="N5" s="432"/>
      <c r="O5" s="432"/>
      <c r="P5" s="433"/>
      <c r="Q5" s="432"/>
      <c r="R5" s="432"/>
      <c r="S5" s="464"/>
      <c r="T5" s="465"/>
      <c r="U5" s="464"/>
      <c r="V5" s="464"/>
      <c r="W5" s="464"/>
      <c r="X5" s="464"/>
      <c r="Y5" s="483"/>
    </row>
    <row r="6" ht="22" customHeight="1" spans="1:25">
      <c r="A6" s="434" t="s">
        <v>102</v>
      </c>
      <c r="B6" s="435">
        <f t="shared" ref="B6:B12" si="0">T6</f>
        <v>0</v>
      </c>
      <c r="C6" s="436"/>
      <c r="D6" s="437">
        <f t="shared" ref="D6:D12" si="1">SUM(E6:G6)</f>
        <v>0</v>
      </c>
      <c r="E6" s="436"/>
      <c r="F6" s="436"/>
      <c r="G6" s="436"/>
      <c r="H6" s="437">
        <f t="shared" ref="H6:H12" si="2">SUM(I6:K6)</f>
        <v>0</v>
      </c>
      <c r="I6" s="436"/>
      <c r="J6" s="436"/>
      <c r="K6" s="436"/>
      <c r="L6" s="437">
        <f t="shared" ref="L6:L12" si="3">SUM(M6:O6)</f>
        <v>0</v>
      </c>
      <c r="M6" s="436"/>
      <c r="N6" s="436"/>
      <c r="O6" s="436"/>
      <c r="P6" s="437">
        <f t="shared" ref="P6:P12" si="4">SUM(Q6:S6)</f>
        <v>0</v>
      </c>
      <c r="Q6" s="436"/>
      <c r="R6" s="436"/>
      <c r="S6" s="436"/>
      <c r="T6" s="437">
        <f t="shared" ref="T6:T12" si="5">P6+L6+H6+D6</f>
        <v>0</v>
      </c>
      <c r="U6" s="448">
        <f t="shared" ref="U6:U12" si="6">B6-V6</f>
        <v>0</v>
      </c>
      <c r="V6" s="466">
        <f t="shared" ref="V6:V12" si="7">B6*100%</f>
        <v>0</v>
      </c>
      <c r="W6" s="466">
        <f t="shared" ref="W6:W12" si="8">B6-V6-U6</f>
        <v>0</v>
      </c>
      <c r="X6" s="466">
        <f t="shared" ref="X6:X12" si="9">B6-C6-T6</f>
        <v>0</v>
      </c>
      <c r="Y6" s="484"/>
    </row>
    <row r="7" ht="22" customHeight="1" spans="1:25">
      <c r="A7" s="438" t="s">
        <v>103</v>
      </c>
      <c r="B7" s="435">
        <f t="shared" si="0"/>
        <v>0</v>
      </c>
      <c r="C7" s="436"/>
      <c r="D7" s="437">
        <f t="shared" si="1"/>
        <v>0</v>
      </c>
      <c r="E7" s="436"/>
      <c r="F7" s="436"/>
      <c r="G7" s="436"/>
      <c r="H7" s="437">
        <f t="shared" si="2"/>
        <v>0</v>
      </c>
      <c r="I7" s="436"/>
      <c r="J7" s="436"/>
      <c r="K7" s="436"/>
      <c r="L7" s="437">
        <f t="shared" si="3"/>
        <v>0</v>
      </c>
      <c r="M7" s="436"/>
      <c r="N7" s="436"/>
      <c r="O7" s="436"/>
      <c r="P7" s="437">
        <f t="shared" si="4"/>
        <v>0</v>
      </c>
      <c r="Q7" s="436"/>
      <c r="R7" s="436"/>
      <c r="S7" s="436"/>
      <c r="T7" s="437">
        <f t="shared" si="5"/>
        <v>0</v>
      </c>
      <c r="U7" s="448">
        <f t="shared" si="6"/>
        <v>0</v>
      </c>
      <c r="V7" s="466">
        <f t="shared" si="7"/>
        <v>0</v>
      </c>
      <c r="W7" s="466">
        <f t="shared" si="8"/>
        <v>0</v>
      </c>
      <c r="X7" s="466">
        <f t="shared" si="9"/>
        <v>0</v>
      </c>
      <c r="Y7" s="484"/>
    </row>
    <row r="8" ht="22" customHeight="1" spans="1:25">
      <c r="A8" s="439" t="s">
        <v>104</v>
      </c>
      <c r="B8" s="435">
        <f t="shared" si="0"/>
        <v>0</v>
      </c>
      <c r="C8" s="436"/>
      <c r="D8" s="437">
        <f t="shared" si="1"/>
        <v>0</v>
      </c>
      <c r="E8" s="436"/>
      <c r="F8" s="436"/>
      <c r="G8" s="436"/>
      <c r="H8" s="437">
        <f t="shared" si="2"/>
        <v>0</v>
      </c>
      <c r="I8" s="436"/>
      <c r="J8" s="436"/>
      <c r="K8" s="436"/>
      <c r="L8" s="437">
        <f t="shared" si="3"/>
        <v>0</v>
      </c>
      <c r="M8" s="436"/>
      <c r="N8" s="436"/>
      <c r="O8" s="436"/>
      <c r="P8" s="437">
        <f t="shared" si="4"/>
        <v>0</v>
      </c>
      <c r="Q8" s="436"/>
      <c r="R8" s="436"/>
      <c r="S8" s="436"/>
      <c r="T8" s="437">
        <f t="shared" si="5"/>
        <v>0</v>
      </c>
      <c r="U8" s="448">
        <f t="shared" si="6"/>
        <v>0</v>
      </c>
      <c r="V8" s="466">
        <f t="shared" si="7"/>
        <v>0</v>
      </c>
      <c r="W8" s="466">
        <f t="shared" si="8"/>
        <v>0</v>
      </c>
      <c r="X8" s="466">
        <f t="shared" si="9"/>
        <v>0</v>
      </c>
      <c r="Y8" s="484"/>
    </row>
    <row r="9" ht="22" customHeight="1" spans="1:25">
      <c r="A9" s="440" t="s">
        <v>105</v>
      </c>
      <c r="B9" s="435">
        <f t="shared" si="0"/>
        <v>0</v>
      </c>
      <c r="C9" s="436"/>
      <c r="D9" s="437">
        <f t="shared" si="1"/>
        <v>0</v>
      </c>
      <c r="E9" s="436"/>
      <c r="F9" s="436"/>
      <c r="G9" s="436"/>
      <c r="H9" s="437">
        <f t="shared" si="2"/>
        <v>0</v>
      </c>
      <c r="I9" s="436"/>
      <c r="J9" s="436"/>
      <c r="K9" s="436"/>
      <c r="L9" s="437">
        <f t="shared" si="3"/>
        <v>0</v>
      </c>
      <c r="M9" s="436"/>
      <c r="N9" s="436"/>
      <c r="O9" s="436"/>
      <c r="P9" s="437">
        <f t="shared" si="4"/>
        <v>0</v>
      </c>
      <c r="Q9" s="436"/>
      <c r="R9" s="436"/>
      <c r="S9" s="436"/>
      <c r="T9" s="437">
        <f t="shared" si="5"/>
        <v>0</v>
      </c>
      <c r="U9" s="448">
        <f t="shared" si="6"/>
        <v>0</v>
      </c>
      <c r="V9" s="466">
        <f t="shared" si="7"/>
        <v>0</v>
      </c>
      <c r="W9" s="466">
        <f t="shared" si="8"/>
        <v>0</v>
      </c>
      <c r="X9" s="466">
        <f t="shared" si="9"/>
        <v>0</v>
      </c>
      <c r="Y9" s="484"/>
    </row>
    <row r="10" ht="22" customHeight="1" spans="1:25">
      <c r="A10" s="439" t="s">
        <v>106</v>
      </c>
      <c r="B10" s="435">
        <f t="shared" si="0"/>
        <v>0</v>
      </c>
      <c r="C10" s="436"/>
      <c r="D10" s="437">
        <f t="shared" si="1"/>
        <v>0</v>
      </c>
      <c r="E10" s="436"/>
      <c r="F10" s="436"/>
      <c r="G10" s="436"/>
      <c r="H10" s="437">
        <f t="shared" si="2"/>
        <v>0</v>
      </c>
      <c r="I10" s="436"/>
      <c r="J10" s="436"/>
      <c r="K10" s="436"/>
      <c r="L10" s="437">
        <f t="shared" si="3"/>
        <v>0</v>
      </c>
      <c r="M10" s="436"/>
      <c r="N10" s="436"/>
      <c r="O10" s="436"/>
      <c r="P10" s="437">
        <f t="shared" si="4"/>
        <v>0</v>
      </c>
      <c r="Q10" s="436"/>
      <c r="R10" s="436"/>
      <c r="S10" s="436"/>
      <c r="T10" s="437">
        <f t="shared" si="5"/>
        <v>0</v>
      </c>
      <c r="U10" s="448">
        <f t="shared" si="6"/>
        <v>0</v>
      </c>
      <c r="V10" s="466">
        <f t="shared" si="7"/>
        <v>0</v>
      </c>
      <c r="W10" s="466">
        <f t="shared" si="8"/>
        <v>0</v>
      </c>
      <c r="X10" s="466">
        <f t="shared" si="9"/>
        <v>0</v>
      </c>
      <c r="Y10" s="484"/>
    </row>
    <row r="11" ht="22" customHeight="1" spans="1:25">
      <c r="A11" s="441" t="s">
        <v>107</v>
      </c>
      <c r="B11" s="435">
        <f t="shared" si="0"/>
        <v>0</v>
      </c>
      <c r="C11" s="436"/>
      <c r="D11" s="437">
        <f t="shared" si="1"/>
        <v>0</v>
      </c>
      <c r="E11" s="436"/>
      <c r="F11" s="436"/>
      <c r="G11" s="436"/>
      <c r="H11" s="437">
        <f t="shared" si="2"/>
        <v>0</v>
      </c>
      <c r="I11" s="436"/>
      <c r="J11" s="436"/>
      <c r="K11" s="436"/>
      <c r="L11" s="437">
        <f t="shared" si="3"/>
        <v>0</v>
      </c>
      <c r="M11" s="436"/>
      <c r="N11" s="436"/>
      <c r="O11" s="436"/>
      <c r="P11" s="437">
        <f t="shared" si="4"/>
        <v>0</v>
      </c>
      <c r="Q11" s="436"/>
      <c r="R11" s="436"/>
      <c r="S11" s="436"/>
      <c r="T11" s="437">
        <f t="shared" si="5"/>
        <v>0</v>
      </c>
      <c r="U11" s="448">
        <f t="shared" si="6"/>
        <v>0</v>
      </c>
      <c r="V11" s="466">
        <f t="shared" si="7"/>
        <v>0</v>
      </c>
      <c r="W11" s="466">
        <f t="shared" si="8"/>
        <v>0</v>
      </c>
      <c r="X11" s="466">
        <f t="shared" si="9"/>
        <v>0</v>
      </c>
      <c r="Y11" s="484"/>
    </row>
    <row r="12" ht="22" customHeight="1" spans="1:25">
      <c r="A12" s="442" t="s">
        <v>108</v>
      </c>
      <c r="B12" s="435">
        <f t="shared" si="0"/>
        <v>0</v>
      </c>
      <c r="C12" s="436"/>
      <c r="D12" s="437">
        <f t="shared" si="1"/>
        <v>0</v>
      </c>
      <c r="E12" s="436"/>
      <c r="F12" s="436"/>
      <c r="G12" s="436"/>
      <c r="H12" s="437">
        <f t="shared" si="2"/>
        <v>0</v>
      </c>
      <c r="I12" s="436"/>
      <c r="J12" s="436"/>
      <c r="K12" s="436"/>
      <c r="L12" s="437">
        <f t="shared" si="3"/>
        <v>0</v>
      </c>
      <c r="M12" s="436"/>
      <c r="N12" s="436"/>
      <c r="O12" s="436"/>
      <c r="P12" s="437">
        <f t="shared" si="4"/>
        <v>0</v>
      </c>
      <c r="Q12" s="436"/>
      <c r="R12" s="436"/>
      <c r="S12" s="436"/>
      <c r="T12" s="437">
        <f t="shared" si="5"/>
        <v>0</v>
      </c>
      <c r="U12" s="448">
        <f t="shared" si="6"/>
        <v>0</v>
      </c>
      <c r="V12" s="466">
        <f t="shared" si="7"/>
        <v>0</v>
      </c>
      <c r="W12" s="466">
        <f t="shared" si="8"/>
        <v>0</v>
      </c>
      <c r="X12" s="466">
        <f t="shared" si="9"/>
        <v>0</v>
      </c>
      <c r="Y12" s="484"/>
    </row>
    <row r="13" ht="22" customHeight="1" spans="1:25">
      <c r="A13" s="443" t="s">
        <v>109</v>
      </c>
      <c r="B13" s="444">
        <f t="shared" ref="B13:X13" si="10">SUM(B6:B12)</f>
        <v>0</v>
      </c>
      <c r="C13" s="445">
        <f t="shared" si="10"/>
        <v>0</v>
      </c>
      <c r="D13" s="446">
        <f t="shared" si="10"/>
        <v>0</v>
      </c>
      <c r="E13" s="445">
        <f t="shared" si="10"/>
        <v>0</v>
      </c>
      <c r="F13" s="445">
        <f t="shared" si="10"/>
        <v>0</v>
      </c>
      <c r="G13" s="445">
        <f t="shared" si="10"/>
        <v>0</v>
      </c>
      <c r="H13" s="446">
        <f t="shared" si="10"/>
        <v>0</v>
      </c>
      <c r="I13" s="445">
        <f t="shared" si="10"/>
        <v>0</v>
      </c>
      <c r="J13" s="445">
        <f t="shared" si="10"/>
        <v>0</v>
      </c>
      <c r="K13" s="445">
        <f t="shared" si="10"/>
        <v>0</v>
      </c>
      <c r="L13" s="446">
        <f t="shared" si="10"/>
        <v>0</v>
      </c>
      <c r="M13" s="445">
        <f t="shared" si="10"/>
        <v>0</v>
      </c>
      <c r="N13" s="445">
        <f t="shared" si="10"/>
        <v>0</v>
      </c>
      <c r="O13" s="445">
        <f t="shared" si="10"/>
        <v>0</v>
      </c>
      <c r="P13" s="446">
        <f t="shared" si="10"/>
        <v>0</v>
      </c>
      <c r="Q13" s="445">
        <f t="shared" si="10"/>
        <v>0</v>
      </c>
      <c r="R13" s="445">
        <f t="shared" si="10"/>
        <v>0</v>
      </c>
      <c r="S13" s="445">
        <f t="shared" si="10"/>
        <v>0</v>
      </c>
      <c r="T13" s="446">
        <f t="shared" si="10"/>
        <v>0</v>
      </c>
      <c r="U13" s="445">
        <f t="shared" si="10"/>
        <v>0</v>
      </c>
      <c r="V13" s="445">
        <f t="shared" si="10"/>
        <v>0</v>
      </c>
      <c r="W13" s="467">
        <f t="shared" si="10"/>
        <v>0</v>
      </c>
      <c r="X13" s="467">
        <f t="shared" si="10"/>
        <v>0</v>
      </c>
      <c r="Y13" s="485"/>
    </row>
    <row r="14" ht="22" customHeight="1" spans="1:25">
      <c r="A14" s="430" t="s">
        <v>110</v>
      </c>
      <c r="B14" s="431"/>
      <c r="C14" s="432"/>
      <c r="D14" s="433"/>
      <c r="E14" s="432"/>
      <c r="F14" s="432"/>
      <c r="G14" s="432"/>
      <c r="H14" s="433"/>
      <c r="I14" s="432"/>
      <c r="J14" s="432"/>
      <c r="K14" s="432"/>
      <c r="L14" s="433"/>
      <c r="M14" s="432"/>
      <c r="N14" s="432"/>
      <c r="O14" s="432"/>
      <c r="P14" s="433"/>
      <c r="Q14" s="432"/>
      <c r="R14" s="432"/>
      <c r="S14" s="468"/>
      <c r="T14" s="469"/>
      <c r="U14" s="468"/>
      <c r="V14" s="470"/>
      <c r="W14" s="470"/>
      <c r="X14" s="470"/>
      <c r="Y14" s="486"/>
    </row>
    <row r="15" ht="22" customHeight="1" spans="1:25">
      <c r="A15" s="447" t="s">
        <v>102</v>
      </c>
      <c r="B15" s="435">
        <f t="shared" ref="B15:B21" si="11">T15</f>
        <v>0</v>
      </c>
      <c r="C15" s="448"/>
      <c r="D15" s="437">
        <f t="shared" ref="D15:D21" si="12">SUM(E15:G15)</f>
        <v>0</v>
      </c>
      <c r="E15" s="436"/>
      <c r="F15" s="436"/>
      <c r="G15" s="436"/>
      <c r="H15" s="437">
        <f t="shared" ref="H15:H21" si="13">SUM(I15:K15)</f>
        <v>0</v>
      </c>
      <c r="I15" s="436"/>
      <c r="J15" s="436"/>
      <c r="K15" s="436"/>
      <c r="L15" s="437">
        <f t="shared" ref="L15:L21" si="14">SUM(M15:O15)</f>
        <v>0</v>
      </c>
      <c r="M15" s="436"/>
      <c r="N15" s="436"/>
      <c r="O15" s="436"/>
      <c r="P15" s="437">
        <f t="shared" ref="P15:P21" si="15">SUM(Q15:S15)</f>
        <v>0</v>
      </c>
      <c r="Q15" s="436"/>
      <c r="R15" s="436"/>
      <c r="S15" s="436"/>
      <c r="T15" s="437">
        <f t="shared" ref="T15:T21" si="16">P15+L15+H15+D15</f>
        <v>0</v>
      </c>
      <c r="U15" s="448">
        <f t="shared" ref="U15:U21" si="17">B15-V15</f>
        <v>0</v>
      </c>
      <c r="V15" s="466">
        <f t="shared" ref="V15:V21" si="18">B15*100%</f>
        <v>0</v>
      </c>
      <c r="W15" s="466">
        <f t="shared" ref="W15:W21" si="19">C15+T15-V15-U15</f>
        <v>0</v>
      </c>
      <c r="X15" s="466">
        <f t="shared" ref="X15:X21" si="20">B15-C15-T15</f>
        <v>0</v>
      </c>
      <c r="Y15" s="484"/>
    </row>
    <row r="16" ht="22" customHeight="1" spans="1:25">
      <c r="A16" s="438" t="s">
        <v>103</v>
      </c>
      <c r="B16" s="435">
        <f t="shared" si="11"/>
        <v>0</v>
      </c>
      <c r="C16" s="448"/>
      <c r="D16" s="437">
        <f t="shared" si="12"/>
        <v>0</v>
      </c>
      <c r="E16" s="436"/>
      <c r="F16" s="436"/>
      <c r="G16" s="436"/>
      <c r="H16" s="437">
        <f t="shared" si="13"/>
        <v>0</v>
      </c>
      <c r="I16" s="436"/>
      <c r="J16" s="436"/>
      <c r="K16" s="436"/>
      <c r="L16" s="437">
        <f t="shared" si="14"/>
        <v>0</v>
      </c>
      <c r="M16" s="436"/>
      <c r="N16" s="436"/>
      <c r="O16" s="436"/>
      <c r="P16" s="437">
        <f t="shared" si="15"/>
        <v>0</v>
      </c>
      <c r="Q16" s="436"/>
      <c r="R16" s="436"/>
      <c r="S16" s="436"/>
      <c r="T16" s="437">
        <f t="shared" si="16"/>
        <v>0</v>
      </c>
      <c r="U16" s="448">
        <f t="shared" si="17"/>
        <v>0</v>
      </c>
      <c r="V16" s="466">
        <f t="shared" si="18"/>
        <v>0</v>
      </c>
      <c r="W16" s="466">
        <f t="shared" si="19"/>
        <v>0</v>
      </c>
      <c r="X16" s="466">
        <f t="shared" si="20"/>
        <v>0</v>
      </c>
      <c r="Y16" s="484"/>
    </row>
    <row r="17" ht="22" customHeight="1" spans="1:25">
      <c r="A17" s="439" t="s">
        <v>104</v>
      </c>
      <c r="B17" s="435">
        <f t="shared" si="11"/>
        <v>0</v>
      </c>
      <c r="C17" s="448"/>
      <c r="D17" s="437">
        <f t="shared" si="12"/>
        <v>0</v>
      </c>
      <c r="E17" s="436"/>
      <c r="F17" s="436"/>
      <c r="G17" s="436"/>
      <c r="H17" s="437">
        <f t="shared" si="13"/>
        <v>0</v>
      </c>
      <c r="I17" s="436"/>
      <c r="J17" s="436"/>
      <c r="K17" s="436"/>
      <c r="L17" s="437">
        <f t="shared" si="14"/>
        <v>0</v>
      </c>
      <c r="M17" s="436"/>
      <c r="N17" s="436"/>
      <c r="O17" s="436"/>
      <c r="P17" s="437">
        <f t="shared" si="15"/>
        <v>0</v>
      </c>
      <c r="Q17" s="436"/>
      <c r="R17" s="436"/>
      <c r="S17" s="436"/>
      <c r="T17" s="437">
        <f t="shared" si="16"/>
        <v>0</v>
      </c>
      <c r="U17" s="448">
        <f t="shared" si="17"/>
        <v>0</v>
      </c>
      <c r="V17" s="466">
        <f t="shared" si="18"/>
        <v>0</v>
      </c>
      <c r="W17" s="466">
        <f t="shared" si="19"/>
        <v>0</v>
      </c>
      <c r="X17" s="466">
        <f t="shared" si="20"/>
        <v>0</v>
      </c>
      <c r="Y17" s="484"/>
    </row>
    <row r="18" ht="22" customHeight="1" spans="1:25">
      <c r="A18" s="440" t="s">
        <v>105</v>
      </c>
      <c r="B18" s="435">
        <f t="shared" si="11"/>
        <v>0</v>
      </c>
      <c r="C18" s="448"/>
      <c r="D18" s="437">
        <f t="shared" si="12"/>
        <v>0</v>
      </c>
      <c r="E18" s="436"/>
      <c r="F18" s="436"/>
      <c r="G18" s="436"/>
      <c r="H18" s="437">
        <f t="shared" si="13"/>
        <v>0</v>
      </c>
      <c r="I18" s="436"/>
      <c r="J18" s="436"/>
      <c r="K18" s="436"/>
      <c r="L18" s="437">
        <f t="shared" si="14"/>
        <v>0</v>
      </c>
      <c r="M18" s="436"/>
      <c r="N18" s="436"/>
      <c r="O18" s="436"/>
      <c r="P18" s="437">
        <f t="shared" si="15"/>
        <v>0</v>
      </c>
      <c r="Q18" s="436"/>
      <c r="R18" s="436"/>
      <c r="S18" s="436"/>
      <c r="T18" s="437">
        <f t="shared" si="16"/>
        <v>0</v>
      </c>
      <c r="U18" s="448">
        <f t="shared" si="17"/>
        <v>0</v>
      </c>
      <c r="V18" s="466">
        <f t="shared" si="18"/>
        <v>0</v>
      </c>
      <c r="W18" s="466">
        <f t="shared" si="19"/>
        <v>0</v>
      </c>
      <c r="X18" s="466">
        <f t="shared" si="20"/>
        <v>0</v>
      </c>
      <c r="Y18" s="484"/>
    </row>
    <row r="19" ht="22" customHeight="1" spans="1:25">
      <c r="A19" s="439" t="s">
        <v>106</v>
      </c>
      <c r="B19" s="435">
        <f t="shared" si="11"/>
        <v>0</v>
      </c>
      <c r="C19" s="448"/>
      <c r="D19" s="437">
        <f t="shared" si="12"/>
        <v>0</v>
      </c>
      <c r="E19" s="436"/>
      <c r="F19" s="436"/>
      <c r="G19" s="436"/>
      <c r="H19" s="437">
        <f t="shared" si="13"/>
        <v>0</v>
      </c>
      <c r="I19" s="436"/>
      <c r="J19" s="436"/>
      <c r="K19" s="436"/>
      <c r="L19" s="437">
        <f t="shared" si="14"/>
        <v>0</v>
      </c>
      <c r="M19" s="436"/>
      <c r="N19" s="436"/>
      <c r="O19" s="436"/>
      <c r="P19" s="437">
        <f t="shared" si="15"/>
        <v>0</v>
      </c>
      <c r="Q19" s="436"/>
      <c r="R19" s="436"/>
      <c r="S19" s="436"/>
      <c r="T19" s="437">
        <f t="shared" si="16"/>
        <v>0</v>
      </c>
      <c r="U19" s="448">
        <f t="shared" si="17"/>
        <v>0</v>
      </c>
      <c r="V19" s="466">
        <f t="shared" si="18"/>
        <v>0</v>
      </c>
      <c r="W19" s="466">
        <f t="shared" si="19"/>
        <v>0</v>
      </c>
      <c r="X19" s="466">
        <f t="shared" si="20"/>
        <v>0</v>
      </c>
      <c r="Y19" s="484"/>
    </row>
    <row r="20" ht="22" customHeight="1" spans="1:25">
      <c r="A20" s="439" t="s">
        <v>107</v>
      </c>
      <c r="B20" s="435">
        <f t="shared" si="11"/>
        <v>0</v>
      </c>
      <c r="C20" s="448"/>
      <c r="D20" s="437">
        <f t="shared" si="12"/>
        <v>0</v>
      </c>
      <c r="E20" s="436"/>
      <c r="F20" s="436"/>
      <c r="G20" s="436"/>
      <c r="H20" s="437">
        <f t="shared" si="13"/>
        <v>0</v>
      </c>
      <c r="I20" s="436"/>
      <c r="J20" s="436"/>
      <c r="K20" s="436"/>
      <c r="L20" s="437">
        <f t="shared" si="14"/>
        <v>0</v>
      </c>
      <c r="M20" s="436"/>
      <c r="N20" s="436"/>
      <c r="O20" s="436"/>
      <c r="P20" s="437">
        <f t="shared" si="15"/>
        <v>0</v>
      </c>
      <c r="Q20" s="436"/>
      <c r="R20" s="436"/>
      <c r="S20" s="436"/>
      <c r="T20" s="437">
        <f t="shared" si="16"/>
        <v>0</v>
      </c>
      <c r="U20" s="448">
        <f t="shared" si="17"/>
        <v>0</v>
      </c>
      <c r="V20" s="466">
        <f t="shared" si="18"/>
        <v>0</v>
      </c>
      <c r="W20" s="466">
        <f t="shared" si="19"/>
        <v>0</v>
      </c>
      <c r="X20" s="466">
        <f t="shared" si="20"/>
        <v>0</v>
      </c>
      <c r="Y20" s="484"/>
    </row>
    <row r="21" ht="22" customHeight="1" spans="1:25">
      <c r="A21" s="442" t="s">
        <v>108</v>
      </c>
      <c r="B21" s="435">
        <f t="shared" si="11"/>
        <v>0</v>
      </c>
      <c r="C21" s="448"/>
      <c r="D21" s="437">
        <f t="shared" si="12"/>
        <v>0</v>
      </c>
      <c r="E21" s="436"/>
      <c r="F21" s="436"/>
      <c r="G21" s="436"/>
      <c r="H21" s="437">
        <f t="shared" si="13"/>
        <v>0</v>
      </c>
      <c r="I21" s="436"/>
      <c r="J21" s="436"/>
      <c r="K21" s="436"/>
      <c r="L21" s="437">
        <f t="shared" si="14"/>
        <v>0</v>
      </c>
      <c r="M21" s="436"/>
      <c r="N21" s="436"/>
      <c r="O21" s="436"/>
      <c r="P21" s="437">
        <f t="shared" si="15"/>
        <v>0</v>
      </c>
      <c r="Q21" s="436"/>
      <c r="R21" s="436"/>
      <c r="S21" s="436"/>
      <c r="T21" s="437">
        <f t="shared" si="16"/>
        <v>0</v>
      </c>
      <c r="U21" s="448">
        <f t="shared" si="17"/>
        <v>0</v>
      </c>
      <c r="V21" s="466">
        <f t="shared" si="18"/>
        <v>0</v>
      </c>
      <c r="W21" s="466">
        <f t="shared" si="19"/>
        <v>0</v>
      </c>
      <c r="X21" s="466">
        <f t="shared" si="20"/>
        <v>0</v>
      </c>
      <c r="Y21" s="484"/>
    </row>
    <row r="22" ht="22" customHeight="1" spans="1:25">
      <c r="A22" s="443" t="s">
        <v>109</v>
      </c>
      <c r="B22" s="444">
        <f t="shared" ref="B22:X22" si="21">SUM(B15:B21)</f>
        <v>0</v>
      </c>
      <c r="C22" s="445">
        <f t="shared" si="21"/>
        <v>0</v>
      </c>
      <c r="D22" s="446">
        <f t="shared" si="21"/>
        <v>0</v>
      </c>
      <c r="E22" s="446">
        <f t="shared" si="21"/>
        <v>0</v>
      </c>
      <c r="F22" s="446">
        <f t="shared" si="21"/>
        <v>0</v>
      </c>
      <c r="G22" s="446">
        <f t="shared" si="21"/>
        <v>0</v>
      </c>
      <c r="H22" s="446">
        <f t="shared" si="21"/>
        <v>0</v>
      </c>
      <c r="I22" s="446">
        <f t="shared" si="21"/>
        <v>0</v>
      </c>
      <c r="J22" s="446">
        <f t="shared" si="21"/>
        <v>0</v>
      </c>
      <c r="K22" s="446">
        <f t="shared" si="21"/>
        <v>0</v>
      </c>
      <c r="L22" s="446">
        <f t="shared" si="21"/>
        <v>0</v>
      </c>
      <c r="M22" s="446">
        <f t="shared" si="21"/>
        <v>0</v>
      </c>
      <c r="N22" s="446">
        <f t="shared" si="21"/>
        <v>0</v>
      </c>
      <c r="O22" s="446">
        <f t="shared" si="21"/>
        <v>0</v>
      </c>
      <c r="P22" s="446">
        <f t="shared" si="21"/>
        <v>0</v>
      </c>
      <c r="Q22" s="446">
        <f t="shared" si="21"/>
        <v>0</v>
      </c>
      <c r="R22" s="446">
        <f t="shared" si="21"/>
        <v>0</v>
      </c>
      <c r="S22" s="446">
        <f t="shared" si="21"/>
        <v>0</v>
      </c>
      <c r="T22" s="471">
        <f t="shared" si="21"/>
        <v>0</v>
      </c>
      <c r="U22" s="472">
        <f t="shared" si="21"/>
        <v>0</v>
      </c>
      <c r="V22" s="467">
        <f t="shared" si="21"/>
        <v>0</v>
      </c>
      <c r="W22" s="467">
        <f t="shared" si="21"/>
        <v>0</v>
      </c>
      <c r="X22" s="467">
        <f t="shared" si="21"/>
        <v>0</v>
      </c>
      <c r="Y22" s="485"/>
    </row>
    <row r="23" ht="22" customHeight="1" spans="1:25">
      <c r="A23" s="430" t="s">
        <v>111</v>
      </c>
      <c r="B23" s="431"/>
      <c r="C23" s="432"/>
      <c r="D23" s="433"/>
      <c r="E23" s="432"/>
      <c r="F23" s="432"/>
      <c r="G23" s="432"/>
      <c r="H23" s="433"/>
      <c r="I23" s="432"/>
      <c r="J23" s="432"/>
      <c r="K23" s="432"/>
      <c r="L23" s="433"/>
      <c r="M23" s="432"/>
      <c r="N23" s="432"/>
      <c r="O23" s="432"/>
      <c r="P23" s="433"/>
      <c r="Q23" s="432"/>
      <c r="R23" s="432"/>
      <c r="S23" s="468"/>
      <c r="T23" s="469"/>
      <c r="U23" s="468"/>
      <c r="V23" s="470"/>
      <c r="W23" s="470"/>
      <c r="X23" s="470"/>
      <c r="Y23" s="486"/>
    </row>
    <row r="24" ht="22" customHeight="1" spans="1:25">
      <c r="A24" s="447" t="s">
        <v>102</v>
      </c>
      <c r="B24" s="435">
        <f t="shared" ref="B24:B30" si="22">T24</f>
        <v>0</v>
      </c>
      <c r="C24" s="448"/>
      <c r="D24" s="437">
        <f t="shared" ref="D24:D30" si="23">SUM(E24:G24)</f>
        <v>0</v>
      </c>
      <c r="E24" s="436"/>
      <c r="F24" s="436"/>
      <c r="G24" s="436"/>
      <c r="H24" s="437">
        <f t="shared" ref="H24:H30" si="24">SUM(I24:K24)</f>
        <v>0</v>
      </c>
      <c r="I24" s="436"/>
      <c r="J24" s="436"/>
      <c r="K24" s="436"/>
      <c r="L24" s="437">
        <f t="shared" ref="L24:L30" si="25">SUM(M24:O24)</f>
        <v>0</v>
      </c>
      <c r="M24" s="436"/>
      <c r="N24" s="436"/>
      <c r="O24" s="436"/>
      <c r="P24" s="437">
        <f t="shared" ref="P24:P30" si="26">SUM(Q24:S24)</f>
        <v>0</v>
      </c>
      <c r="Q24" s="436"/>
      <c r="R24" s="436"/>
      <c r="S24" s="436"/>
      <c r="T24" s="437">
        <f t="shared" ref="T24:T30" si="27">P24+L24+H24+D24</f>
        <v>0</v>
      </c>
      <c r="U24" s="448">
        <f t="shared" ref="U24:U30" si="28">B24-V24</f>
        <v>0</v>
      </c>
      <c r="V24" s="466">
        <f t="shared" ref="V24:V30" si="29">B24*100%</f>
        <v>0</v>
      </c>
      <c r="W24" s="466">
        <f t="shared" ref="W24:W30" si="30">C24+T24-V24-U24</f>
        <v>0</v>
      </c>
      <c r="X24" s="466">
        <f t="shared" ref="X24:X30" si="31">B24-C24-T24</f>
        <v>0</v>
      </c>
      <c r="Y24" s="484"/>
    </row>
    <row r="25" ht="22" customHeight="1" spans="1:25">
      <c r="A25" s="438" t="s">
        <v>103</v>
      </c>
      <c r="B25" s="435">
        <f t="shared" si="22"/>
        <v>0</v>
      </c>
      <c r="C25" s="448"/>
      <c r="D25" s="437">
        <f t="shared" si="23"/>
        <v>0</v>
      </c>
      <c r="E25" s="436"/>
      <c r="F25" s="436"/>
      <c r="G25" s="436"/>
      <c r="H25" s="437">
        <f t="shared" si="24"/>
        <v>0</v>
      </c>
      <c r="I25" s="436"/>
      <c r="J25" s="436"/>
      <c r="K25" s="436"/>
      <c r="L25" s="437">
        <f t="shared" si="25"/>
        <v>0</v>
      </c>
      <c r="M25" s="436"/>
      <c r="N25" s="436"/>
      <c r="O25" s="436"/>
      <c r="P25" s="437">
        <f t="shared" si="26"/>
        <v>0</v>
      </c>
      <c r="Q25" s="436"/>
      <c r="R25" s="436"/>
      <c r="S25" s="436"/>
      <c r="T25" s="437">
        <f t="shared" si="27"/>
        <v>0</v>
      </c>
      <c r="U25" s="448">
        <f t="shared" si="28"/>
        <v>0</v>
      </c>
      <c r="V25" s="466">
        <f t="shared" si="29"/>
        <v>0</v>
      </c>
      <c r="W25" s="466">
        <f t="shared" si="30"/>
        <v>0</v>
      </c>
      <c r="X25" s="466">
        <f t="shared" si="31"/>
        <v>0</v>
      </c>
      <c r="Y25" s="484"/>
    </row>
    <row r="26" ht="22" customHeight="1" spans="1:25">
      <c r="A26" s="439" t="s">
        <v>104</v>
      </c>
      <c r="B26" s="435">
        <f t="shared" si="22"/>
        <v>0</v>
      </c>
      <c r="C26" s="448"/>
      <c r="D26" s="437">
        <f t="shared" si="23"/>
        <v>0</v>
      </c>
      <c r="E26" s="436"/>
      <c r="F26" s="436"/>
      <c r="G26" s="436"/>
      <c r="H26" s="437">
        <f t="shared" si="24"/>
        <v>0</v>
      </c>
      <c r="I26" s="436"/>
      <c r="J26" s="436"/>
      <c r="K26" s="436"/>
      <c r="L26" s="437">
        <f t="shared" si="25"/>
        <v>0</v>
      </c>
      <c r="M26" s="436"/>
      <c r="N26" s="436"/>
      <c r="O26" s="436"/>
      <c r="P26" s="437">
        <f t="shared" si="26"/>
        <v>0</v>
      </c>
      <c r="Q26" s="436"/>
      <c r="R26" s="436"/>
      <c r="S26" s="436"/>
      <c r="T26" s="437">
        <f t="shared" si="27"/>
        <v>0</v>
      </c>
      <c r="U26" s="448">
        <f t="shared" si="28"/>
        <v>0</v>
      </c>
      <c r="V26" s="466">
        <f t="shared" si="29"/>
        <v>0</v>
      </c>
      <c r="W26" s="466">
        <f t="shared" si="30"/>
        <v>0</v>
      </c>
      <c r="X26" s="466">
        <f t="shared" si="31"/>
        <v>0</v>
      </c>
      <c r="Y26" s="484"/>
    </row>
    <row r="27" ht="22" customHeight="1" spans="1:25">
      <c r="A27" s="440" t="s">
        <v>105</v>
      </c>
      <c r="B27" s="435">
        <f t="shared" si="22"/>
        <v>0</v>
      </c>
      <c r="C27" s="448"/>
      <c r="D27" s="437">
        <f t="shared" si="23"/>
        <v>0</v>
      </c>
      <c r="E27" s="436"/>
      <c r="F27" s="436"/>
      <c r="G27" s="436"/>
      <c r="H27" s="437">
        <f t="shared" si="24"/>
        <v>0</v>
      </c>
      <c r="I27" s="436"/>
      <c r="J27" s="436"/>
      <c r="K27" s="436"/>
      <c r="L27" s="437">
        <f t="shared" si="25"/>
        <v>0</v>
      </c>
      <c r="M27" s="436"/>
      <c r="N27" s="436"/>
      <c r="O27" s="436"/>
      <c r="P27" s="437">
        <f t="shared" si="26"/>
        <v>0</v>
      </c>
      <c r="Q27" s="436"/>
      <c r="R27" s="436"/>
      <c r="S27" s="436"/>
      <c r="T27" s="437">
        <f t="shared" si="27"/>
        <v>0</v>
      </c>
      <c r="U27" s="448">
        <f t="shared" si="28"/>
        <v>0</v>
      </c>
      <c r="V27" s="466">
        <f t="shared" si="29"/>
        <v>0</v>
      </c>
      <c r="W27" s="466">
        <f t="shared" si="30"/>
        <v>0</v>
      </c>
      <c r="X27" s="466">
        <f t="shared" si="31"/>
        <v>0</v>
      </c>
      <c r="Y27" s="484"/>
    </row>
    <row r="28" ht="22" customHeight="1" spans="1:25">
      <c r="A28" s="439" t="s">
        <v>106</v>
      </c>
      <c r="B28" s="435">
        <f t="shared" si="22"/>
        <v>0</v>
      </c>
      <c r="C28" s="448"/>
      <c r="D28" s="437">
        <f t="shared" si="23"/>
        <v>0</v>
      </c>
      <c r="E28" s="436"/>
      <c r="F28" s="436"/>
      <c r="G28" s="436"/>
      <c r="H28" s="437">
        <f t="shared" si="24"/>
        <v>0</v>
      </c>
      <c r="I28" s="436"/>
      <c r="J28" s="436"/>
      <c r="K28" s="436"/>
      <c r="L28" s="437">
        <f t="shared" si="25"/>
        <v>0</v>
      </c>
      <c r="M28" s="436"/>
      <c r="N28" s="436"/>
      <c r="O28" s="436"/>
      <c r="P28" s="437">
        <f t="shared" si="26"/>
        <v>0</v>
      </c>
      <c r="Q28" s="436"/>
      <c r="R28" s="436"/>
      <c r="S28" s="436"/>
      <c r="T28" s="437">
        <f t="shared" si="27"/>
        <v>0</v>
      </c>
      <c r="U28" s="448">
        <f t="shared" si="28"/>
        <v>0</v>
      </c>
      <c r="V28" s="466">
        <f t="shared" si="29"/>
        <v>0</v>
      </c>
      <c r="W28" s="466">
        <f t="shared" si="30"/>
        <v>0</v>
      </c>
      <c r="X28" s="466">
        <f t="shared" si="31"/>
        <v>0</v>
      </c>
      <c r="Y28" s="484"/>
    </row>
    <row r="29" ht="22" customHeight="1" spans="1:25">
      <c r="A29" s="439" t="s">
        <v>107</v>
      </c>
      <c r="B29" s="435">
        <f t="shared" si="22"/>
        <v>0</v>
      </c>
      <c r="C29" s="448"/>
      <c r="D29" s="437">
        <f t="shared" si="23"/>
        <v>0</v>
      </c>
      <c r="E29" s="436"/>
      <c r="F29" s="436"/>
      <c r="G29" s="436"/>
      <c r="H29" s="437">
        <f t="shared" si="24"/>
        <v>0</v>
      </c>
      <c r="I29" s="436"/>
      <c r="J29" s="436"/>
      <c r="K29" s="436"/>
      <c r="L29" s="437">
        <f t="shared" si="25"/>
        <v>0</v>
      </c>
      <c r="M29" s="436"/>
      <c r="N29" s="436"/>
      <c r="O29" s="436"/>
      <c r="P29" s="437">
        <f t="shared" si="26"/>
        <v>0</v>
      </c>
      <c r="Q29" s="436"/>
      <c r="R29" s="436"/>
      <c r="S29" s="436"/>
      <c r="T29" s="437">
        <f t="shared" si="27"/>
        <v>0</v>
      </c>
      <c r="U29" s="448">
        <f t="shared" si="28"/>
        <v>0</v>
      </c>
      <c r="V29" s="466">
        <f t="shared" si="29"/>
        <v>0</v>
      </c>
      <c r="W29" s="466">
        <f t="shared" si="30"/>
        <v>0</v>
      </c>
      <c r="X29" s="466">
        <f t="shared" si="31"/>
        <v>0</v>
      </c>
      <c r="Y29" s="484"/>
    </row>
    <row r="30" ht="22" customHeight="1" spans="1:25">
      <c r="A30" s="442" t="s">
        <v>108</v>
      </c>
      <c r="B30" s="435">
        <f t="shared" si="22"/>
        <v>0</v>
      </c>
      <c r="C30" s="448"/>
      <c r="D30" s="437">
        <f t="shared" si="23"/>
        <v>0</v>
      </c>
      <c r="E30" s="436"/>
      <c r="F30" s="436"/>
      <c r="G30" s="436"/>
      <c r="H30" s="437">
        <f t="shared" si="24"/>
        <v>0</v>
      </c>
      <c r="I30" s="436"/>
      <c r="J30" s="436"/>
      <c r="K30" s="436"/>
      <c r="L30" s="437">
        <f t="shared" si="25"/>
        <v>0</v>
      </c>
      <c r="M30" s="436"/>
      <c r="N30" s="436"/>
      <c r="O30" s="436"/>
      <c r="P30" s="437">
        <f t="shared" si="26"/>
        <v>0</v>
      </c>
      <c r="Q30" s="436"/>
      <c r="R30" s="436"/>
      <c r="S30" s="436"/>
      <c r="T30" s="437">
        <f t="shared" si="27"/>
        <v>0</v>
      </c>
      <c r="U30" s="448">
        <f t="shared" si="28"/>
        <v>0</v>
      </c>
      <c r="V30" s="466">
        <f t="shared" si="29"/>
        <v>0</v>
      </c>
      <c r="W30" s="466">
        <f t="shared" si="30"/>
        <v>0</v>
      </c>
      <c r="X30" s="466">
        <f t="shared" si="31"/>
        <v>0</v>
      </c>
      <c r="Y30" s="484"/>
    </row>
    <row r="31" ht="22" customHeight="1" spans="1:25">
      <c r="A31" s="443" t="s">
        <v>109</v>
      </c>
      <c r="B31" s="449">
        <f t="shared" ref="B31:X31" si="32">SUM(B24:B30)</f>
        <v>0</v>
      </c>
      <c r="C31" s="450">
        <f t="shared" si="32"/>
        <v>0</v>
      </c>
      <c r="D31" s="451">
        <f t="shared" si="32"/>
        <v>0</v>
      </c>
      <c r="E31" s="451">
        <f t="shared" si="32"/>
        <v>0</v>
      </c>
      <c r="F31" s="451">
        <f t="shared" si="32"/>
        <v>0</v>
      </c>
      <c r="G31" s="451">
        <f t="shared" si="32"/>
        <v>0</v>
      </c>
      <c r="H31" s="451">
        <f t="shared" si="32"/>
        <v>0</v>
      </c>
      <c r="I31" s="451">
        <f t="shared" si="32"/>
        <v>0</v>
      </c>
      <c r="J31" s="451">
        <f t="shared" si="32"/>
        <v>0</v>
      </c>
      <c r="K31" s="451">
        <f t="shared" si="32"/>
        <v>0</v>
      </c>
      <c r="L31" s="451">
        <f t="shared" si="32"/>
        <v>0</v>
      </c>
      <c r="M31" s="451">
        <f t="shared" si="32"/>
        <v>0</v>
      </c>
      <c r="N31" s="451">
        <f t="shared" si="32"/>
        <v>0</v>
      </c>
      <c r="O31" s="451">
        <f t="shared" si="32"/>
        <v>0</v>
      </c>
      <c r="P31" s="451">
        <f t="shared" si="32"/>
        <v>0</v>
      </c>
      <c r="Q31" s="451">
        <f t="shared" si="32"/>
        <v>0</v>
      </c>
      <c r="R31" s="451">
        <f t="shared" si="32"/>
        <v>0</v>
      </c>
      <c r="S31" s="451">
        <f t="shared" si="32"/>
        <v>0</v>
      </c>
      <c r="T31" s="473">
        <f t="shared" si="32"/>
        <v>0</v>
      </c>
      <c r="U31" s="474">
        <f t="shared" si="32"/>
        <v>0</v>
      </c>
      <c r="V31" s="475">
        <f t="shared" si="32"/>
        <v>0</v>
      </c>
      <c r="W31" s="475">
        <f t="shared" si="32"/>
        <v>0</v>
      </c>
      <c r="X31" s="475">
        <f t="shared" si="32"/>
        <v>0</v>
      </c>
      <c r="Y31" s="487"/>
    </row>
    <row r="32" ht="22" customHeight="1" spans="1:25">
      <c r="A32" s="78" t="s">
        <v>112</v>
      </c>
      <c r="B32" s="452">
        <f>B13+B22</f>
        <v>0</v>
      </c>
      <c r="C32" s="453">
        <f>C13+C22</f>
        <v>0</v>
      </c>
      <c r="D32" s="454">
        <f t="shared" ref="D32:X32" si="33">SUM(D13,D22,D31)</f>
        <v>0</v>
      </c>
      <c r="E32" s="454">
        <f t="shared" si="33"/>
        <v>0</v>
      </c>
      <c r="F32" s="454">
        <f t="shared" si="33"/>
        <v>0</v>
      </c>
      <c r="G32" s="454">
        <f t="shared" si="33"/>
        <v>0</v>
      </c>
      <c r="H32" s="454">
        <f t="shared" si="33"/>
        <v>0</v>
      </c>
      <c r="I32" s="454">
        <f t="shared" si="33"/>
        <v>0</v>
      </c>
      <c r="J32" s="454">
        <f t="shared" si="33"/>
        <v>0</v>
      </c>
      <c r="K32" s="454">
        <f t="shared" si="33"/>
        <v>0</v>
      </c>
      <c r="L32" s="454">
        <f t="shared" si="33"/>
        <v>0</v>
      </c>
      <c r="M32" s="454">
        <f t="shared" si="33"/>
        <v>0</v>
      </c>
      <c r="N32" s="454">
        <f t="shared" si="33"/>
        <v>0</v>
      </c>
      <c r="O32" s="454">
        <f t="shared" si="33"/>
        <v>0</v>
      </c>
      <c r="P32" s="454">
        <f t="shared" si="33"/>
        <v>0</v>
      </c>
      <c r="Q32" s="454">
        <f t="shared" si="33"/>
        <v>0</v>
      </c>
      <c r="R32" s="454">
        <f t="shared" si="33"/>
        <v>0</v>
      </c>
      <c r="S32" s="454">
        <f t="shared" si="33"/>
        <v>0</v>
      </c>
      <c r="T32" s="454">
        <f t="shared" si="33"/>
        <v>0</v>
      </c>
      <c r="U32" s="454">
        <f t="shared" si="33"/>
        <v>0</v>
      </c>
      <c r="V32" s="454">
        <f t="shared" si="33"/>
        <v>0</v>
      </c>
      <c r="W32" s="454">
        <f t="shared" si="33"/>
        <v>0</v>
      </c>
      <c r="X32" s="454">
        <f t="shared" si="33"/>
        <v>0</v>
      </c>
      <c r="Y32" s="488"/>
    </row>
    <row r="33" ht="16.5" spans="1:25">
      <c r="A33" s="3"/>
      <c r="B33" s="3"/>
      <c r="C33" s="3"/>
      <c r="D33" s="455"/>
      <c r="E33" s="3"/>
      <c r="F33" s="3"/>
      <c r="G33" s="3"/>
      <c r="H33" s="455"/>
      <c r="I33" s="3"/>
      <c r="J33" s="3"/>
      <c r="K33" s="3"/>
      <c r="L33" s="455"/>
      <c r="M33" s="3"/>
      <c r="N33" s="3"/>
      <c r="O33" s="3"/>
      <c r="P33" s="455"/>
      <c r="Q33" s="476"/>
      <c r="R33" s="476"/>
      <c r="S33" s="477"/>
      <c r="T33" s="478"/>
      <c r="U33" s="479"/>
      <c r="V33" s="3"/>
      <c r="W33" s="3"/>
      <c r="X33" s="3"/>
      <c r="Y33" s="3"/>
    </row>
    <row r="34" ht="20" customHeight="1" spans="1:25">
      <c r="A34" s="3" t="s">
        <v>113</v>
      </c>
      <c r="B34" s="3"/>
      <c r="C34" s="3"/>
      <c r="D34" s="455"/>
      <c r="E34" s="3"/>
      <c r="F34" s="3"/>
      <c r="G34" s="3"/>
      <c r="H34" s="455"/>
      <c r="I34" s="3"/>
      <c r="J34" s="3"/>
      <c r="K34" s="3"/>
      <c r="L34" s="455"/>
      <c r="M34" s="3"/>
      <c r="N34" s="3"/>
      <c r="O34" s="3"/>
      <c r="P34" s="455"/>
      <c r="Q34" s="476"/>
      <c r="R34" s="476"/>
      <c r="S34" s="476"/>
      <c r="T34" s="455"/>
      <c r="U34" s="3"/>
      <c r="V34" s="3"/>
      <c r="W34" s="3"/>
      <c r="X34" s="3"/>
      <c r="Y34" s="3"/>
    </row>
    <row r="35" ht="20" customHeight="1" spans="1:25">
      <c r="A35" s="3" t="s">
        <v>114</v>
      </c>
      <c r="B35" s="3"/>
      <c r="C35" s="3"/>
      <c r="D35" s="455"/>
      <c r="E35" s="3"/>
      <c r="F35" s="3"/>
      <c r="G35" s="3"/>
      <c r="H35" s="455"/>
      <c r="I35" s="3"/>
      <c r="J35" s="3"/>
      <c r="K35" s="3"/>
      <c r="L35" s="455"/>
      <c r="M35" s="3"/>
      <c r="N35" s="3"/>
      <c r="O35" s="3"/>
      <c r="P35" s="455"/>
      <c r="Q35" s="476"/>
      <c r="R35" s="476"/>
      <c r="S35" s="476"/>
      <c r="T35" s="455"/>
      <c r="U35" s="3"/>
      <c r="V35" s="3"/>
      <c r="W35" s="3"/>
      <c r="X35" s="3"/>
      <c r="Y35" s="3"/>
    </row>
    <row r="36" ht="20" customHeight="1" spans="1:25">
      <c r="A36" s="3" t="s">
        <v>115</v>
      </c>
      <c r="B36" s="3"/>
      <c r="C36" s="3"/>
      <c r="D36" s="455"/>
      <c r="E36" s="3"/>
      <c r="F36" s="3"/>
      <c r="G36" s="3"/>
      <c r="H36" s="455"/>
      <c r="I36" s="3"/>
      <c r="J36" s="3"/>
      <c r="K36" s="3"/>
      <c r="L36" s="455"/>
      <c r="M36" s="3"/>
      <c r="N36" s="3"/>
      <c r="O36" s="3"/>
      <c r="P36" s="455"/>
      <c r="Q36" s="476"/>
      <c r="R36" s="476"/>
      <c r="S36" s="476"/>
      <c r="T36" s="455"/>
      <c r="U36" s="3"/>
      <c r="V36" s="3"/>
      <c r="W36" s="3"/>
      <c r="X36" s="3"/>
      <c r="Y36" s="3"/>
    </row>
    <row r="37" ht="20" customHeight="1" spans="1:25">
      <c r="A37" s="3" t="s">
        <v>116</v>
      </c>
      <c r="B37" s="3"/>
      <c r="C37" s="3"/>
      <c r="D37" s="455"/>
      <c r="E37" s="3"/>
      <c r="F37" s="3"/>
      <c r="G37" s="3"/>
      <c r="H37" s="455"/>
      <c r="I37" s="3"/>
      <c r="J37" s="3"/>
      <c r="K37" s="3"/>
      <c r="L37" s="455"/>
      <c r="M37" s="3"/>
      <c r="N37" s="3"/>
      <c r="O37" s="3"/>
      <c r="P37" s="455"/>
      <c r="Q37" s="476"/>
      <c r="R37" s="476"/>
      <c r="S37" s="476"/>
      <c r="T37" s="455"/>
      <c r="U37" s="3"/>
      <c r="V37" s="3"/>
      <c r="W37" s="3"/>
      <c r="X37" s="3"/>
      <c r="Y37" s="3"/>
    </row>
    <row r="38" ht="20" customHeight="1" spans="1:25">
      <c r="A38" s="3" t="s">
        <v>117</v>
      </c>
      <c r="B38" s="3"/>
      <c r="C38" s="3"/>
      <c r="D38" s="455"/>
      <c r="E38" s="3"/>
      <c r="F38" s="3"/>
      <c r="G38" s="3"/>
      <c r="H38" s="455"/>
      <c r="I38" s="3"/>
      <c r="J38" s="3"/>
      <c r="K38" s="3"/>
      <c r="L38" s="455"/>
      <c r="M38" s="3"/>
      <c r="N38" s="3"/>
      <c r="O38" s="3"/>
      <c r="P38" s="455"/>
      <c r="Q38" s="476"/>
      <c r="R38" s="476"/>
      <c r="S38" s="476"/>
      <c r="T38" s="455"/>
      <c r="U38" s="3"/>
      <c r="V38" s="3"/>
      <c r="W38" s="3"/>
      <c r="X38" s="3"/>
      <c r="Y38" s="3"/>
    </row>
    <row r="39" ht="20" customHeight="1" spans="1:25">
      <c r="A39" s="3" t="s">
        <v>118</v>
      </c>
      <c r="B39" s="3"/>
      <c r="C39" s="3"/>
      <c r="D39" s="455"/>
      <c r="E39" s="3"/>
      <c r="F39" s="3"/>
      <c r="G39" s="3"/>
      <c r="H39" s="455"/>
      <c r="I39" s="3"/>
      <c r="J39" s="3"/>
      <c r="K39" s="3"/>
      <c r="L39" s="455"/>
      <c r="M39" s="3"/>
      <c r="N39" s="3"/>
      <c r="O39" s="3"/>
      <c r="P39" s="455"/>
      <c r="Q39" s="476"/>
      <c r="R39" s="476"/>
      <c r="S39" s="476"/>
      <c r="T39" s="455"/>
      <c r="U39" s="3"/>
      <c r="V39" s="3"/>
      <c r="W39" s="3"/>
      <c r="X39" s="3"/>
      <c r="Y39" s="3"/>
    </row>
    <row r="40" ht="20" customHeight="1" spans="1:25">
      <c r="A40" s="3" t="s">
        <v>119</v>
      </c>
      <c r="B40" s="3"/>
      <c r="C40" s="3"/>
      <c r="D40" s="455"/>
      <c r="E40" s="3"/>
      <c r="F40" s="3"/>
      <c r="G40" s="3"/>
      <c r="H40" s="455"/>
      <c r="I40" s="3"/>
      <c r="J40" s="3"/>
      <c r="K40" s="3"/>
      <c r="L40" s="455"/>
      <c r="M40" s="3"/>
      <c r="N40" s="3"/>
      <c r="O40" s="3"/>
      <c r="P40" s="455"/>
      <c r="Q40" s="476"/>
      <c r="R40" s="476"/>
      <c r="S40" s="476"/>
      <c r="T40" s="455"/>
      <c r="U40" s="3"/>
      <c r="V40" s="3"/>
      <c r="W40" s="3"/>
      <c r="X40" s="3"/>
      <c r="Y40" s="3"/>
    </row>
    <row r="41" spans="1:25">
      <c r="A41" s="456"/>
      <c r="B41" s="456"/>
      <c r="C41" s="456"/>
      <c r="D41" s="457"/>
      <c r="E41" s="456"/>
      <c r="F41" s="456"/>
      <c r="G41" s="456"/>
      <c r="H41" s="457"/>
      <c r="I41" s="456"/>
      <c r="J41" s="456"/>
      <c r="K41" s="456"/>
      <c r="L41" s="457"/>
      <c r="M41" s="456"/>
      <c r="N41" s="456"/>
      <c r="O41" s="456"/>
      <c r="P41" s="457"/>
      <c r="Q41" s="480"/>
      <c r="R41" s="480"/>
      <c r="S41" s="480"/>
      <c r="T41" s="457"/>
      <c r="U41" s="456"/>
      <c r="V41" s="456"/>
      <c r="W41" s="456"/>
      <c r="X41" s="456"/>
      <c r="Y41" s="456"/>
    </row>
    <row r="42" spans="1:25">
      <c r="A42" s="456"/>
      <c r="B42" s="456"/>
      <c r="C42" s="456"/>
      <c r="D42" s="457"/>
      <c r="E42" s="456"/>
      <c r="F42" s="456"/>
      <c r="G42" s="456"/>
      <c r="H42" s="457"/>
      <c r="I42" s="456"/>
      <c r="J42" s="456"/>
      <c r="K42" s="456"/>
      <c r="L42" s="457"/>
      <c r="M42" s="456"/>
      <c r="N42" s="456"/>
      <c r="O42" s="456"/>
      <c r="P42" s="457"/>
      <c r="Q42" s="480"/>
      <c r="R42" s="480"/>
      <c r="S42" s="480"/>
      <c r="T42" s="457"/>
      <c r="U42" s="456"/>
      <c r="V42" s="456"/>
      <c r="W42" s="456"/>
      <c r="X42" s="456"/>
      <c r="Y42" s="456"/>
    </row>
  </sheetData>
  <mergeCells count="9">
    <mergeCell ref="A1:Y1"/>
    <mergeCell ref="D3:T3"/>
    <mergeCell ref="U3:V3"/>
    <mergeCell ref="A3:A4"/>
    <mergeCell ref="B3:B4"/>
    <mergeCell ref="C3:C4"/>
    <mergeCell ref="W3:W4"/>
    <mergeCell ref="X3:X4"/>
    <mergeCell ref="Y3:Y4"/>
  </mergeCells>
  <hyperlinks>
    <hyperlink ref="A6" location="'一-4-1开发成本'!A1" display="土地費"/>
    <hyperlink ref="A11" location="'一-4-2开发间接费用'!A1" display="開發間接費"/>
  </hyperlinks>
  <pageMargins left="0.75" right="0.75" top="1" bottom="1" header="0.511805555555556" footer="0.511805555555556"/>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Z104"/>
  <sheetViews>
    <sheetView showGridLines="0" workbookViewId="0">
      <selection activeCell="A1" sqref="A1:Y1"/>
    </sheetView>
  </sheetViews>
  <sheetFormatPr defaultColWidth="8.66666666666667" defaultRowHeight="14.25"/>
  <cols>
    <col min="1" max="1" width="22.4166666666667" style="303" customWidth="1"/>
    <col min="2" max="2" width="12.5833333333333" customWidth="1"/>
    <col min="3" max="3" width="11.6666666666667" customWidth="1"/>
    <col min="4" max="19" width="9.41666666666667"/>
    <col min="20" max="20" width="10.5"/>
    <col min="22" max="22" width="10.5"/>
    <col min="23" max="23" width="11.3333333333333"/>
    <col min="24" max="24" width="10.6666666666667" customWidth="1"/>
    <col min="25" max="25" width="12.5833333333333" customWidth="1"/>
  </cols>
  <sheetData>
    <row r="1" ht="38" customHeight="1" spans="1:25">
      <c r="A1" s="182" t="s">
        <v>120</v>
      </c>
      <c r="B1" s="182"/>
      <c r="C1" s="182"/>
      <c r="D1" s="182"/>
      <c r="E1" s="182"/>
      <c r="F1" s="182"/>
      <c r="G1" s="182"/>
      <c r="H1" s="182"/>
      <c r="I1" s="182"/>
      <c r="J1" s="182"/>
      <c r="K1" s="182"/>
      <c r="L1" s="182"/>
      <c r="M1" s="182"/>
      <c r="N1" s="182"/>
      <c r="O1" s="182"/>
      <c r="P1" s="182"/>
      <c r="Q1" s="182"/>
      <c r="R1" s="182"/>
      <c r="S1" s="182"/>
      <c r="T1" s="182"/>
      <c r="U1" s="182"/>
      <c r="V1" s="182"/>
      <c r="W1" s="182"/>
      <c r="X1" s="182"/>
      <c r="Y1" s="182"/>
    </row>
    <row r="2" s="1" customFormat="1" ht="23" customHeight="1" spans="1:21">
      <c r="A2" s="1" t="s">
        <v>1</v>
      </c>
      <c r="L2" s="1" t="s">
        <v>2</v>
      </c>
      <c r="U2" s="1" t="s">
        <v>3</v>
      </c>
    </row>
    <row r="3" s="205" customFormat="1" ht="27" customHeight="1" spans="1:26">
      <c r="A3" s="304" t="s">
        <v>121</v>
      </c>
      <c r="B3" s="305" t="s">
        <v>122</v>
      </c>
      <c r="C3" s="306" t="s">
        <v>123</v>
      </c>
      <c r="D3" s="307" t="s">
        <v>6</v>
      </c>
      <c r="E3" s="308">
        <v>41275</v>
      </c>
      <c r="F3" s="308">
        <v>41306</v>
      </c>
      <c r="G3" s="309">
        <v>41334</v>
      </c>
      <c r="H3" s="310" t="s">
        <v>10</v>
      </c>
      <c r="I3" s="308">
        <v>41365</v>
      </c>
      <c r="J3" s="308">
        <v>41395</v>
      </c>
      <c r="K3" s="328">
        <v>41426</v>
      </c>
      <c r="L3" s="307" t="s">
        <v>14</v>
      </c>
      <c r="M3" s="308">
        <v>41456</v>
      </c>
      <c r="N3" s="308">
        <v>41487</v>
      </c>
      <c r="O3" s="309">
        <v>41518</v>
      </c>
      <c r="P3" s="310" t="s">
        <v>18</v>
      </c>
      <c r="Q3" s="308">
        <v>41548</v>
      </c>
      <c r="R3" s="308">
        <v>41579</v>
      </c>
      <c r="S3" s="328">
        <v>41609</v>
      </c>
      <c r="T3" s="331" t="s">
        <v>124</v>
      </c>
      <c r="U3" s="332" t="s">
        <v>125</v>
      </c>
      <c r="V3" s="332" t="s">
        <v>126</v>
      </c>
      <c r="W3" s="332" t="s">
        <v>127</v>
      </c>
      <c r="X3" s="333" t="s">
        <v>128</v>
      </c>
      <c r="Y3" s="338" t="s">
        <v>81</v>
      </c>
      <c r="Z3" s="4"/>
    </row>
    <row r="4" s="205" customFormat="1" ht="22" customHeight="1" spans="1:26">
      <c r="A4" s="311" t="s">
        <v>129</v>
      </c>
      <c r="B4" s="312"/>
      <c r="C4" s="313"/>
      <c r="D4" s="314">
        <f>SUM(E4:G4)</f>
        <v>0</v>
      </c>
      <c r="E4" s="315"/>
      <c r="F4" s="315"/>
      <c r="G4" s="316"/>
      <c r="H4" s="317">
        <f t="shared" ref="H4:H9" si="0">SUM(I4:K4)</f>
        <v>0</v>
      </c>
      <c r="I4" s="315"/>
      <c r="J4" s="315"/>
      <c r="K4" s="313"/>
      <c r="L4" s="314">
        <f>SUM(M4:O4)</f>
        <v>0</v>
      </c>
      <c r="M4" s="315"/>
      <c r="N4" s="315"/>
      <c r="O4" s="316"/>
      <c r="P4" s="317">
        <f>SUM(Q4:S4)</f>
        <v>0</v>
      </c>
      <c r="Q4" s="315"/>
      <c r="R4" s="315"/>
      <c r="S4" s="313"/>
      <c r="T4" s="314">
        <f>D4+H4+L4+P4</f>
        <v>0</v>
      </c>
      <c r="U4" s="334"/>
      <c r="V4" s="334"/>
      <c r="W4" s="334">
        <f>T4-V4</f>
        <v>0</v>
      </c>
      <c r="X4" s="335" t="e">
        <f>W4/T4</f>
        <v>#DIV/0!</v>
      </c>
      <c r="Y4" s="339"/>
      <c r="Z4" s="4"/>
    </row>
    <row r="5" s="205" customFormat="1" ht="22" customHeight="1" spans="1:26">
      <c r="A5" s="318" t="s">
        <v>130</v>
      </c>
      <c r="B5" s="319"/>
      <c r="C5" s="320"/>
      <c r="D5" s="314">
        <f t="shared" ref="D5:D36" si="1">SUM(E5:G5)</f>
        <v>0</v>
      </c>
      <c r="E5" s="321"/>
      <c r="F5" s="321"/>
      <c r="G5" s="322"/>
      <c r="H5" s="317">
        <f t="shared" si="0"/>
        <v>0</v>
      </c>
      <c r="I5" s="321"/>
      <c r="J5" s="321"/>
      <c r="K5" s="329"/>
      <c r="L5" s="314">
        <f t="shared" ref="L5:L36" si="2">SUM(M5:O5)</f>
        <v>0</v>
      </c>
      <c r="M5" s="321"/>
      <c r="N5" s="321"/>
      <c r="O5" s="322"/>
      <c r="P5" s="317">
        <f t="shared" ref="P5:P36" si="3">SUM(Q5:S5)</f>
        <v>0</v>
      </c>
      <c r="Q5" s="321"/>
      <c r="R5" s="321"/>
      <c r="S5" s="329"/>
      <c r="T5" s="314">
        <f t="shared" ref="T5:T36" si="4">D5+H5+L5+P5</f>
        <v>0</v>
      </c>
      <c r="U5" s="336"/>
      <c r="V5" s="337"/>
      <c r="W5" s="334">
        <f>T5-V5</f>
        <v>0</v>
      </c>
      <c r="X5" s="335" t="e">
        <f>W5/T5</f>
        <v>#DIV/0!</v>
      </c>
      <c r="Y5" s="340"/>
      <c r="Z5" s="4"/>
    </row>
    <row r="6" s="205" customFormat="1" ht="22" customHeight="1" spans="1:26">
      <c r="A6" s="318" t="s">
        <v>131</v>
      </c>
      <c r="B6" s="319"/>
      <c r="C6" s="320"/>
      <c r="D6" s="314">
        <f t="shared" si="1"/>
        <v>0</v>
      </c>
      <c r="E6" s="321"/>
      <c r="F6" s="321"/>
      <c r="G6" s="322"/>
      <c r="H6" s="317">
        <f t="shared" si="0"/>
        <v>0</v>
      </c>
      <c r="I6" s="321"/>
      <c r="J6" s="321"/>
      <c r="K6" s="329"/>
      <c r="L6" s="314">
        <f t="shared" si="2"/>
        <v>0</v>
      </c>
      <c r="M6" s="321"/>
      <c r="N6" s="321"/>
      <c r="O6" s="322"/>
      <c r="P6" s="317">
        <f t="shared" si="3"/>
        <v>0</v>
      </c>
      <c r="Q6" s="321"/>
      <c r="R6" s="321"/>
      <c r="S6" s="329"/>
      <c r="T6" s="314">
        <f t="shared" si="4"/>
        <v>0</v>
      </c>
      <c r="U6" s="336"/>
      <c r="V6" s="337"/>
      <c r="W6" s="334">
        <f>T6-V6</f>
        <v>0</v>
      </c>
      <c r="X6" s="335" t="e">
        <f t="shared" ref="X5:X36" si="5">W6/T6</f>
        <v>#DIV/0!</v>
      </c>
      <c r="Y6" s="340"/>
      <c r="Z6" s="4"/>
    </row>
    <row r="7" s="205" customFormat="1" ht="22" customHeight="1" spans="1:26">
      <c r="A7" s="318" t="s">
        <v>132</v>
      </c>
      <c r="B7" s="319"/>
      <c r="C7" s="320"/>
      <c r="D7" s="314">
        <f t="shared" si="1"/>
        <v>0</v>
      </c>
      <c r="E7" s="321"/>
      <c r="F7" s="321"/>
      <c r="G7" s="322"/>
      <c r="H7" s="317">
        <f t="shared" si="0"/>
        <v>0</v>
      </c>
      <c r="I7" s="321"/>
      <c r="J7" s="321"/>
      <c r="K7" s="329"/>
      <c r="L7" s="314">
        <f t="shared" si="2"/>
        <v>0</v>
      </c>
      <c r="M7" s="321"/>
      <c r="N7" s="321"/>
      <c r="O7" s="322"/>
      <c r="P7" s="317">
        <f t="shared" si="3"/>
        <v>0</v>
      </c>
      <c r="Q7" s="321"/>
      <c r="R7" s="321"/>
      <c r="S7" s="329"/>
      <c r="T7" s="314">
        <f t="shared" si="4"/>
        <v>0</v>
      </c>
      <c r="U7" s="336"/>
      <c r="V7" s="337"/>
      <c r="W7" s="334">
        <f t="shared" ref="W5:W36" si="6">T7-V7</f>
        <v>0</v>
      </c>
      <c r="X7" s="335" t="e">
        <f t="shared" si="5"/>
        <v>#DIV/0!</v>
      </c>
      <c r="Y7" s="340"/>
      <c r="Z7" s="4"/>
    </row>
    <row r="8" s="205" customFormat="1" ht="22" customHeight="1" spans="1:26">
      <c r="A8" s="318" t="s">
        <v>133</v>
      </c>
      <c r="B8" s="319"/>
      <c r="C8" s="320"/>
      <c r="D8" s="314">
        <f t="shared" si="1"/>
        <v>0</v>
      </c>
      <c r="E8" s="321"/>
      <c r="F8" s="321"/>
      <c r="G8" s="322"/>
      <c r="H8" s="317">
        <f t="shared" si="0"/>
        <v>0</v>
      </c>
      <c r="I8" s="321"/>
      <c r="J8" s="321"/>
      <c r="K8" s="329"/>
      <c r="L8" s="314">
        <f t="shared" si="2"/>
        <v>0</v>
      </c>
      <c r="M8" s="321"/>
      <c r="N8" s="321"/>
      <c r="O8" s="322"/>
      <c r="P8" s="317">
        <f t="shared" si="3"/>
        <v>0</v>
      </c>
      <c r="Q8" s="321"/>
      <c r="R8" s="321"/>
      <c r="S8" s="329"/>
      <c r="T8" s="314">
        <f t="shared" si="4"/>
        <v>0</v>
      </c>
      <c r="U8" s="336"/>
      <c r="V8" s="337"/>
      <c r="W8" s="334">
        <f t="shared" si="6"/>
        <v>0</v>
      </c>
      <c r="X8" s="335" t="e">
        <f t="shared" si="5"/>
        <v>#DIV/0!</v>
      </c>
      <c r="Y8" s="340"/>
      <c r="Z8" s="4"/>
    </row>
    <row r="9" s="205" customFormat="1" ht="22" customHeight="1" spans="1:26">
      <c r="A9" s="323" t="s">
        <v>134</v>
      </c>
      <c r="B9" s="319"/>
      <c r="C9" s="320"/>
      <c r="D9" s="314">
        <f t="shared" si="1"/>
        <v>0</v>
      </c>
      <c r="E9" s="321"/>
      <c r="F9" s="321"/>
      <c r="G9" s="322"/>
      <c r="H9" s="317">
        <f t="shared" si="0"/>
        <v>0</v>
      </c>
      <c r="I9" s="321"/>
      <c r="J9" s="321"/>
      <c r="K9" s="329"/>
      <c r="L9" s="314">
        <f t="shared" si="2"/>
        <v>0</v>
      </c>
      <c r="M9" s="321"/>
      <c r="N9" s="321"/>
      <c r="O9" s="322"/>
      <c r="P9" s="317">
        <f t="shared" si="3"/>
        <v>0</v>
      </c>
      <c r="Q9" s="321"/>
      <c r="R9" s="321"/>
      <c r="S9" s="329"/>
      <c r="T9" s="314">
        <f t="shared" si="4"/>
        <v>0</v>
      </c>
      <c r="U9" s="336"/>
      <c r="V9" s="337"/>
      <c r="W9" s="334">
        <f t="shared" si="6"/>
        <v>0</v>
      </c>
      <c r="X9" s="335" t="e">
        <f t="shared" si="5"/>
        <v>#DIV/0!</v>
      </c>
      <c r="Y9" s="340"/>
      <c r="Z9" s="4"/>
    </row>
    <row r="10" s="205" customFormat="1" ht="22" customHeight="1" spans="1:26">
      <c r="A10" s="323" t="s">
        <v>135</v>
      </c>
      <c r="B10" s="319"/>
      <c r="C10" s="320"/>
      <c r="D10" s="314">
        <f t="shared" si="1"/>
        <v>0</v>
      </c>
      <c r="E10" s="321"/>
      <c r="F10" s="321"/>
      <c r="G10" s="322"/>
      <c r="H10" s="317">
        <f t="shared" ref="H10:H41" si="7">SUM(I10:K10)</f>
        <v>0</v>
      </c>
      <c r="I10" s="321"/>
      <c r="J10" s="321"/>
      <c r="K10" s="329"/>
      <c r="L10" s="314">
        <f t="shared" si="2"/>
        <v>0</v>
      </c>
      <c r="M10" s="321"/>
      <c r="N10" s="321"/>
      <c r="O10" s="322"/>
      <c r="P10" s="317">
        <f t="shared" si="3"/>
        <v>0</v>
      </c>
      <c r="Q10" s="321"/>
      <c r="R10" s="321"/>
      <c r="S10" s="329"/>
      <c r="T10" s="314">
        <f t="shared" si="4"/>
        <v>0</v>
      </c>
      <c r="U10" s="336"/>
      <c r="V10" s="337"/>
      <c r="W10" s="334">
        <f t="shared" si="6"/>
        <v>0</v>
      </c>
      <c r="X10" s="335" t="e">
        <f t="shared" si="5"/>
        <v>#DIV/0!</v>
      </c>
      <c r="Y10" s="340"/>
      <c r="Z10" s="4"/>
    </row>
    <row r="11" s="205" customFormat="1" ht="22" customHeight="1" spans="1:26">
      <c r="A11" s="323" t="s">
        <v>136</v>
      </c>
      <c r="B11" s="319"/>
      <c r="C11" s="320"/>
      <c r="D11" s="314">
        <f t="shared" si="1"/>
        <v>0</v>
      </c>
      <c r="E11" s="321"/>
      <c r="F11" s="321"/>
      <c r="G11" s="322"/>
      <c r="H11" s="317">
        <f t="shared" si="7"/>
        <v>0</v>
      </c>
      <c r="I11" s="321"/>
      <c r="J11" s="321"/>
      <c r="K11" s="329"/>
      <c r="L11" s="314">
        <f t="shared" si="2"/>
        <v>0</v>
      </c>
      <c r="M11" s="321"/>
      <c r="N11" s="321"/>
      <c r="O11" s="322"/>
      <c r="P11" s="317">
        <f t="shared" si="3"/>
        <v>0</v>
      </c>
      <c r="Q11" s="321"/>
      <c r="R11" s="321"/>
      <c r="S11" s="329"/>
      <c r="T11" s="314">
        <f t="shared" si="4"/>
        <v>0</v>
      </c>
      <c r="U11" s="336"/>
      <c r="V11" s="337"/>
      <c r="W11" s="334">
        <f t="shared" si="6"/>
        <v>0</v>
      </c>
      <c r="X11" s="335" t="e">
        <f t="shared" si="5"/>
        <v>#DIV/0!</v>
      </c>
      <c r="Y11" s="340"/>
      <c r="Z11" s="4"/>
    </row>
    <row r="12" s="205" customFormat="1" ht="22" customHeight="1" spans="1:26">
      <c r="A12" s="323" t="s">
        <v>137</v>
      </c>
      <c r="B12" s="319"/>
      <c r="C12" s="320"/>
      <c r="D12" s="314">
        <f t="shared" si="1"/>
        <v>0</v>
      </c>
      <c r="E12" s="321"/>
      <c r="F12" s="321"/>
      <c r="G12" s="322"/>
      <c r="H12" s="317">
        <f t="shared" si="7"/>
        <v>0</v>
      </c>
      <c r="I12" s="321"/>
      <c r="J12" s="321"/>
      <c r="K12" s="329"/>
      <c r="L12" s="314">
        <f t="shared" si="2"/>
        <v>0</v>
      </c>
      <c r="M12" s="321"/>
      <c r="N12" s="321"/>
      <c r="O12" s="322"/>
      <c r="P12" s="317">
        <f t="shared" si="3"/>
        <v>0</v>
      </c>
      <c r="Q12" s="321"/>
      <c r="R12" s="321"/>
      <c r="S12" s="329"/>
      <c r="T12" s="314">
        <f t="shared" si="4"/>
        <v>0</v>
      </c>
      <c r="U12" s="336"/>
      <c r="V12" s="337"/>
      <c r="W12" s="334">
        <f t="shared" si="6"/>
        <v>0</v>
      </c>
      <c r="X12" s="335" t="e">
        <f t="shared" si="5"/>
        <v>#DIV/0!</v>
      </c>
      <c r="Y12" s="340"/>
      <c r="Z12" s="4"/>
    </row>
    <row r="13" s="205" customFormat="1" ht="22" customHeight="1" spans="1:26">
      <c r="A13" s="323" t="s">
        <v>138</v>
      </c>
      <c r="B13" s="319"/>
      <c r="C13" s="320"/>
      <c r="D13" s="314">
        <f t="shared" si="1"/>
        <v>0</v>
      </c>
      <c r="E13" s="321"/>
      <c r="F13" s="321"/>
      <c r="G13" s="322"/>
      <c r="H13" s="317">
        <f t="shared" si="7"/>
        <v>0</v>
      </c>
      <c r="I13" s="321"/>
      <c r="J13" s="321"/>
      <c r="K13" s="329"/>
      <c r="L13" s="314">
        <f t="shared" si="2"/>
        <v>0</v>
      </c>
      <c r="M13" s="321"/>
      <c r="N13" s="321"/>
      <c r="O13" s="322"/>
      <c r="P13" s="317">
        <f t="shared" si="3"/>
        <v>0</v>
      </c>
      <c r="Q13" s="321"/>
      <c r="R13" s="321"/>
      <c r="S13" s="329"/>
      <c r="T13" s="314">
        <f t="shared" si="4"/>
        <v>0</v>
      </c>
      <c r="U13" s="336"/>
      <c r="V13" s="337"/>
      <c r="W13" s="334">
        <f t="shared" si="6"/>
        <v>0</v>
      </c>
      <c r="X13" s="335" t="e">
        <f t="shared" si="5"/>
        <v>#DIV/0!</v>
      </c>
      <c r="Y13" s="340"/>
      <c r="Z13" s="4"/>
    </row>
    <row r="14" s="205" customFormat="1" ht="22" customHeight="1" spans="1:26">
      <c r="A14" s="323" t="s">
        <v>139</v>
      </c>
      <c r="B14" s="319"/>
      <c r="C14" s="320"/>
      <c r="D14" s="314">
        <f t="shared" si="1"/>
        <v>0</v>
      </c>
      <c r="E14" s="321"/>
      <c r="F14" s="321"/>
      <c r="G14" s="322"/>
      <c r="H14" s="317">
        <f t="shared" si="7"/>
        <v>0</v>
      </c>
      <c r="I14" s="321"/>
      <c r="J14" s="321"/>
      <c r="K14" s="329"/>
      <c r="L14" s="314">
        <f t="shared" si="2"/>
        <v>0</v>
      </c>
      <c r="M14" s="321"/>
      <c r="N14" s="321"/>
      <c r="O14" s="322"/>
      <c r="P14" s="317">
        <f t="shared" si="3"/>
        <v>0</v>
      </c>
      <c r="Q14" s="321"/>
      <c r="R14" s="321"/>
      <c r="S14" s="329"/>
      <c r="T14" s="314">
        <f t="shared" si="4"/>
        <v>0</v>
      </c>
      <c r="U14" s="336"/>
      <c r="V14" s="337"/>
      <c r="W14" s="334">
        <f t="shared" si="6"/>
        <v>0</v>
      </c>
      <c r="X14" s="335" t="e">
        <f t="shared" si="5"/>
        <v>#DIV/0!</v>
      </c>
      <c r="Y14" s="340"/>
      <c r="Z14" s="4"/>
    </row>
    <row r="15" s="205" customFormat="1" ht="22" customHeight="1" spans="1:26">
      <c r="A15" s="324" t="s">
        <v>140</v>
      </c>
      <c r="B15" s="319"/>
      <c r="C15" s="320"/>
      <c r="D15" s="314">
        <f t="shared" si="1"/>
        <v>0</v>
      </c>
      <c r="E15" s="321"/>
      <c r="F15" s="321"/>
      <c r="G15" s="322"/>
      <c r="H15" s="317">
        <f t="shared" si="7"/>
        <v>0</v>
      </c>
      <c r="I15" s="321"/>
      <c r="J15" s="321"/>
      <c r="K15" s="329"/>
      <c r="L15" s="314">
        <f t="shared" si="2"/>
        <v>0</v>
      </c>
      <c r="M15" s="321"/>
      <c r="N15" s="321"/>
      <c r="O15" s="322"/>
      <c r="P15" s="317">
        <f t="shared" si="3"/>
        <v>0</v>
      </c>
      <c r="Q15" s="321"/>
      <c r="R15" s="321"/>
      <c r="S15" s="329"/>
      <c r="T15" s="314">
        <f t="shared" si="4"/>
        <v>0</v>
      </c>
      <c r="U15" s="336"/>
      <c r="V15" s="337"/>
      <c r="W15" s="334">
        <f t="shared" si="6"/>
        <v>0</v>
      </c>
      <c r="X15" s="335" t="e">
        <f t="shared" si="5"/>
        <v>#DIV/0!</v>
      </c>
      <c r="Y15" s="340"/>
      <c r="Z15" s="4"/>
    </row>
    <row r="16" s="205" customFormat="1" ht="22" customHeight="1" spans="1:26">
      <c r="A16" s="324" t="s">
        <v>141</v>
      </c>
      <c r="B16" s="319"/>
      <c r="C16" s="320"/>
      <c r="D16" s="314">
        <f t="shared" si="1"/>
        <v>0</v>
      </c>
      <c r="E16" s="321"/>
      <c r="F16" s="321"/>
      <c r="G16" s="322"/>
      <c r="H16" s="317">
        <f t="shared" si="7"/>
        <v>0</v>
      </c>
      <c r="I16" s="321"/>
      <c r="J16" s="321"/>
      <c r="K16" s="329"/>
      <c r="L16" s="314">
        <f t="shared" si="2"/>
        <v>0</v>
      </c>
      <c r="M16" s="321"/>
      <c r="N16" s="321"/>
      <c r="O16" s="322"/>
      <c r="P16" s="317">
        <f t="shared" si="3"/>
        <v>0</v>
      </c>
      <c r="Q16" s="321"/>
      <c r="R16" s="321"/>
      <c r="S16" s="329"/>
      <c r="T16" s="314">
        <f t="shared" si="4"/>
        <v>0</v>
      </c>
      <c r="U16" s="336"/>
      <c r="V16" s="337"/>
      <c r="W16" s="334">
        <f t="shared" si="6"/>
        <v>0</v>
      </c>
      <c r="X16" s="335" t="e">
        <f t="shared" si="5"/>
        <v>#DIV/0!</v>
      </c>
      <c r="Y16" s="340"/>
      <c r="Z16" s="4"/>
    </row>
    <row r="17" s="205" customFormat="1" ht="22" customHeight="1" spans="1:26">
      <c r="A17" s="324" t="s">
        <v>142</v>
      </c>
      <c r="B17" s="319"/>
      <c r="C17" s="320"/>
      <c r="D17" s="314">
        <f t="shared" si="1"/>
        <v>0</v>
      </c>
      <c r="E17" s="321"/>
      <c r="F17" s="321"/>
      <c r="G17" s="322"/>
      <c r="H17" s="317">
        <f t="shared" si="7"/>
        <v>0</v>
      </c>
      <c r="I17" s="321"/>
      <c r="J17" s="321"/>
      <c r="K17" s="329"/>
      <c r="L17" s="314">
        <f t="shared" si="2"/>
        <v>0</v>
      </c>
      <c r="M17" s="321"/>
      <c r="N17" s="321"/>
      <c r="O17" s="322"/>
      <c r="P17" s="317">
        <f t="shared" si="3"/>
        <v>0</v>
      </c>
      <c r="Q17" s="321"/>
      <c r="R17" s="321"/>
      <c r="S17" s="329"/>
      <c r="T17" s="314">
        <f t="shared" si="4"/>
        <v>0</v>
      </c>
      <c r="U17" s="336"/>
      <c r="V17" s="337"/>
      <c r="W17" s="334">
        <f t="shared" si="6"/>
        <v>0</v>
      </c>
      <c r="X17" s="335" t="e">
        <f t="shared" si="5"/>
        <v>#DIV/0!</v>
      </c>
      <c r="Y17" s="340"/>
      <c r="Z17" s="4"/>
    </row>
    <row r="18" s="205" customFormat="1" ht="22" customHeight="1" spans="1:26">
      <c r="A18" s="323" t="s">
        <v>143</v>
      </c>
      <c r="B18" s="319"/>
      <c r="C18" s="320"/>
      <c r="D18" s="314">
        <f t="shared" si="1"/>
        <v>0</v>
      </c>
      <c r="E18" s="321"/>
      <c r="F18" s="321"/>
      <c r="G18" s="322"/>
      <c r="H18" s="317">
        <f t="shared" si="7"/>
        <v>0</v>
      </c>
      <c r="I18" s="321"/>
      <c r="J18" s="321"/>
      <c r="K18" s="329"/>
      <c r="L18" s="314">
        <f t="shared" si="2"/>
        <v>0</v>
      </c>
      <c r="M18" s="321"/>
      <c r="N18" s="321"/>
      <c r="O18" s="322"/>
      <c r="P18" s="317">
        <f t="shared" si="3"/>
        <v>0</v>
      </c>
      <c r="Q18" s="321"/>
      <c r="R18" s="321"/>
      <c r="S18" s="329"/>
      <c r="T18" s="314">
        <f t="shared" si="4"/>
        <v>0</v>
      </c>
      <c r="U18" s="336"/>
      <c r="V18" s="337"/>
      <c r="W18" s="334">
        <f t="shared" si="6"/>
        <v>0</v>
      </c>
      <c r="X18" s="335" t="e">
        <f t="shared" si="5"/>
        <v>#DIV/0!</v>
      </c>
      <c r="Y18" s="340"/>
      <c r="Z18" s="4"/>
    </row>
    <row r="19" s="205" customFormat="1" ht="22" customHeight="1" spans="1:26">
      <c r="A19" s="323" t="s">
        <v>144</v>
      </c>
      <c r="B19" s="319"/>
      <c r="C19" s="320"/>
      <c r="D19" s="314">
        <f t="shared" si="1"/>
        <v>0</v>
      </c>
      <c r="E19" s="321"/>
      <c r="F19" s="321"/>
      <c r="G19" s="322"/>
      <c r="H19" s="317">
        <f t="shared" si="7"/>
        <v>0</v>
      </c>
      <c r="I19" s="321"/>
      <c r="J19" s="321"/>
      <c r="K19" s="329"/>
      <c r="L19" s="314">
        <f t="shared" si="2"/>
        <v>0</v>
      </c>
      <c r="M19" s="321"/>
      <c r="N19" s="321"/>
      <c r="O19" s="322"/>
      <c r="P19" s="317">
        <f t="shared" si="3"/>
        <v>0</v>
      </c>
      <c r="Q19" s="321"/>
      <c r="R19" s="321"/>
      <c r="S19" s="329"/>
      <c r="T19" s="314">
        <f t="shared" si="4"/>
        <v>0</v>
      </c>
      <c r="U19" s="336"/>
      <c r="V19" s="337"/>
      <c r="W19" s="334">
        <f t="shared" si="6"/>
        <v>0</v>
      </c>
      <c r="X19" s="335" t="e">
        <f t="shared" si="5"/>
        <v>#DIV/0!</v>
      </c>
      <c r="Y19" s="340"/>
      <c r="Z19" s="4"/>
    </row>
    <row r="20" s="205" customFormat="1" ht="22" customHeight="1" spans="1:26">
      <c r="A20" s="318" t="s">
        <v>145</v>
      </c>
      <c r="B20" s="319"/>
      <c r="C20" s="320"/>
      <c r="D20" s="314">
        <f t="shared" si="1"/>
        <v>0</v>
      </c>
      <c r="E20" s="321"/>
      <c r="F20" s="321"/>
      <c r="G20" s="322"/>
      <c r="H20" s="317">
        <f t="shared" si="7"/>
        <v>0</v>
      </c>
      <c r="I20" s="321"/>
      <c r="J20" s="321"/>
      <c r="K20" s="329"/>
      <c r="L20" s="314">
        <f t="shared" si="2"/>
        <v>0</v>
      </c>
      <c r="M20" s="321"/>
      <c r="N20" s="321"/>
      <c r="O20" s="322"/>
      <c r="P20" s="317">
        <f t="shared" si="3"/>
        <v>0</v>
      </c>
      <c r="Q20" s="321"/>
      <c r="R20" s="321"/>
      <c r="S20" s="329"/>
      <c r="T20" s="314">
        <f t="shared" si="4"/>
        <v>0</v>
      </c>
      <c r="U20" s="336"/>
      <c r="V20" s="337"/>
      <c r="W20" s="334">
        <f t="shared" si="6"/>
        <v>0</v>
      </c>
      <c r="X20" s="335" t="e">
        <f t="shared" si="5"/>
        <v>#DIV/0!</v>
      </c>
      <c r="Y20" s="340"/>
      <c r="Z20" s="4"/>
    </row>
    <row r="21" s="205" customFormat="1" ht="22" customHeight="1" spans="1:26">
      <c r="A21" s="318" t="s">
        <v>146</v>
      </c>
      <c r="B21" s="319"/>
      <c r="C21" s="320"/>
      <c r="D21" s="314">
        <f t="shared" si="1"/>
        <v>0</v>
      </c>
      <c r="E21" s="321"/>
      <c r="F21" s="321"/>
      <c r="G21" s="322"/>
      <c r="H21" s="317">
        <f t="shared" si="7"/>
        <v>0</v>
      </c>
      <c r="I21" s="321"/>
      <c r="J21" s="321"/>
      <c r="K21" s="329"/>
      <c r="L21" s="314">
        <f t="shared" si="2"/>
        <v>0</v>
      </c>
      <c r="M21" s="321"/>
      <c r="N21" s="321"/>
      <c r="O21" s="322"/>
      <c r="P21" s="317">
        <f t="shared" si="3"/>
        <v>0</v>
      </c>
      <c r="Q21" s="321"/>
      <c r="R21" s="321"/>
      <c r="S21" s="329"/>
      <c r="T21" s="314">
        <f t="shared" si="4"/>
        <v>0</v>
      </c>
      <c r="U21" s="336"/>
      <c r="V21" s="337"/>
      <c r="W21" s="334">
        <f t="shared" si="6"/>
        <v>0</v>
      </c>
      <c r="X21" s="335" t="e">
        <f t="shared" si="5"/>
        <v>#DIV/0!</v>
      </c>
      <c r="Y21" s="340"/>
      <c r="Z21" s="4"/>
    </row>
    <row r="22" s="205" customFormat="1" ht="22" customHeight="1" spans="1:26">
      <c r="A22" s="318" t="s">
        <v>147</v>
      </c>
      <c r="B22" s="319"/>
      <c r="C22" s="320"/>
      <c r="D22" s="314">
        <f t="shared" si="1"/>
        <v>0</v>
      </c>
      <c r="E22" s="321"/>
      <c r="F22" s="321"/>
      <c r="G22" s="322"/>
      <c r="H22" s="317">
        <f t="shared" si="7"/>
        <v>0</v>
      </c>
      <c r="I22" s="321"/>
      <c r="J22" s="321"/>
      <c r="K22" s="329"/>
      <c r="L22" s="314">
        <f t="shared" si="2"/>
        <v>0</v>
      </c>
      <c r="M22" s="321"/>
      <c r="N22" s="321"/>
      <c r="O22" s="322"/>
      <c r="P22" s="317">
        <f t="shared" si="3"/>
        <v>0</v>
      </c>
      <c r="Q22" s="321"/>
      <c r="R22" s="321"/>
      <c r="S22" s="329"/>
      <c r="T22" s="314">
        <f t="shared" si="4"/>
        <v>0</v>
      </c>
      <c r="U22" s="336"/>
      <c r="V22" s="337"/>
      <c r="W22" s="334">
        <f t="shared" si="6"/>
        <v>0</v>
      </c>
      <c r="X22" s="335" t="e">
        <f t="shared" si="5"/>
        <v>#DIV/0!</v>
      </c>
      <c r="Y22" s="340"/>
      <c r="Z22" s="4"/>
    </row>
    <row r="23" s="205" customFormat="1" ht="22" customHeight="1" spans="1:26">
      <c r="A23" s="318" t="s">
        <v>148</v>
      </c>
      <c r="B23" s="319"/>
      <c r="C23" s="320"/>
      <c r="D23" s="314">
        <f t="shared" si="1"/>
        <v>0</v>
      </c>
      <c r="E23" s="321"/>
      <c r="F23" s="321"/>
      <c r="G23" s="322"/>
      <c r="H23" s="317">
        <f t="shared" si="7"/>
        <v>0</v>
      </c>
      <c r="I23" s="321"/>
      <c r="J23" s="321"/>
      <c r="K23" s="329"/>
      <c r="L23" s="314">
        <f t="shared" si="2"/>
        <v>0</v>
      </c>
      <c r="M23" s="321"/>
      <c r="N23" s="321"/>
      <c r="O23" s="322"/>
      <c r="P23" s="317">
        <f t="shared" si="3"/>
        <v>0</v>
      </c>
      <c r="Q23" s="321"/>
      <c r="R23" s="321"/>
      <c r="S23" s="329"/>
      <c r="T23" s="314">
        <f t="shared" si="4"/>
        <v>0</v>
      </c>
      <c r="U23" s="336"/>
      <c r="V23" s="337"/>
      <c r="W23" s="334">
        <f t="shared" si="6"/>
        <v>0</v>
      </c>
      <c r="X23" s="335" t="e">
        <f t="shared" si="5"/>
        <v>#DIV/0!</v>
      </c>
      <c r="Y23" s="340"/>
      <c r="Z23" s="4"/>
    </row>
    <row r="24" s="205" customFormat="1" ht="22" customHeight="1" spans="1:26">
      <c r="A24" s="318" t="s">
        <v>149</v>
      </c>
      <c r="B24" s="319"/>
      <c r="C24" s="320"/>
      <c r="D24" s="314">
        <f t="shared" si="1"/>
        <v>0</v>
      </c>
      <c r="E24" s="321"/>
      <c r="F24" s="321"/>
      <c r="G24" s="322"/>
      <c r="H24" s="317">
        <f t="shared" si="7"/>
        <v>0</v>
      </c>
      <c r="I24" s="321"/>
      <c r="J24" s="321"/>
      <c r="K24" s="329"/>
      <c r="L24" s="314">
        <f t="shared" si="2"/>
        <v>0</v>
      </c>
      <c r="M24" s="321"/>
      <c r="N24" s="321"/>
      <c r="O24" s="322"/>
      <c r="P24" s="317">
        <f t="shared" si="3"/>
        <v>0</v>
      </c>
      <c r="Q24" s="321"/>
      <c r="R24" s="321"/>
      <c r="S24" s="329"/>
      <c r="T24" s="314">
        <f t="shared" si="4"/>
        <v>0</v>
      </c>
      <c r="U24" s="336"/>
      <c r="V24" s="337"/>
      <c r="W24" s="334">
        <f t="shared" si="6"/>
        <v>0</v>
      </c>
      <c r="X24" s="335" t="e">
        <f t="shared" si="5"/>
        <v>#DIV/0!</v>
      </c>
      <c r="Y24" s="340"/>
      <c r="Z24" s="4"/>
    </row>
    <row r="25" s="205" customFormat="1" ht="22" customHeight="1" spans="1:26">
      <c r="A25" s="318" t="s">
        <v>150</v>
      </c>
      <c r="B25" s="319"/>
      <c r="C25" s="320"/>
      <c r="D25" s="314">
        <f t="shared" si="1"/>
        <v>0</v>
      </c>
      <c r="E25" s="321"/>
      <c r="F25" s="321"/>
      <c r="G25" s="322"/>
      <c r="H25" s="317">
        <f t="shared" si="7"/>
        <v>0</v>
      </c>
      <c r="I25" s="321"/>
      <c r="J25" s="321"/>
      <c r="K25" s="329"/>
      <c r="L25" s="314">
        <f t="shared" si="2"/>
        <v>0</v>
      </c>
      <c r="M25" s="321"/>
      <c r="N25" s="321"/>
      <c r="O25" s="322"/>
      <c r="P25" s="317">
        <f t="shared" si="3"/>
        <v>0</v>
      </c>
      <c r="Q25" s="321"/>
      <c r="R25" s="321"/>
      <c r="S25" s="329"/>
      <c r="T25" s="314">
        <f t="shared" si="4"/>
        <v>0</v>
      </c>
      <c r="U25" s="336"/>
      <c r="V25" s="337"/>
      <c r="W25" s="334">
        <f t="shared" si="6"/>
        <v>0</v>
      </c>
      <c r="X25" s="335" t="e">
        <f t="shared" si="5"/>
        <v>#DIV/0!</v>
      </c>
      <c r="Y25" s="340"/>
      <c r="Z25" s="4"/>
    </row>
    <row r="26" s="205" customFormat="1" ht="22" customHeight="1" spans="1:26">
      <c r="A26" s="318" t="s">
        <v>151</v>
      </c>
      <c r="B26" s="319"/>
      <c r="C26" s="320"/>
      <c r="D26" s="314">
        <f t="shared" si="1"/>
        <v>0</v>
      </c>
      <c r="E26" s="321"/>
      <c r="F26" s="321"/>
      <c r="G26" s="322"/>
      <c r="H26" s="317">
        <f t="shared" si="7"/>
        <v>0</v>
      </c>
      <c r="I26" s="321"/>
      <c r="J26" s="321"/>
      <c r="K26" s="329"/>
      <c r="L26" s="314">
        <f t="shared" si="2"/>
        <v>0</v>
      </c>
      <c r="M26" s="321"/>
      <c r="N26" s="321"/>
      <c r="O26" s="322"/>
      <c r="P26" s="317">
        <f t="shared" si="3"/>
        <v>0</v>
      </c>
      <c r="Q26" s="321"/>
      <c r="R26" s="321"/>
      <c r="S26" s="329"/>
      <c r="T26" s="314">
        <f t="shared" si="4"/>
        <v>0</v>
      </c>
      <c r="U26" s="336"/>
      <c r="V26" s="337"/>
      <c r="W26" s="334">
        <f t="shared" si="6"/>
        <v>0</v>
      </c>
      <c r="X26" s="335" t="e">
        <f t="shared" si="5"/>
        <v>#DIV/0!</v>
      </c>
      <c r="Y26" s="340"/>
      <c r="Z26" s="4"/>
    </row>
    <row r="27" s="205" customFormat="1" ht="22" customHeight="1" spans="1:26">
      <c r="A27" s="318" t="s">
        <v>152</v>
      </c>
      <c r="B27" s="319"/>
      <c r="C27" s="320"/>
      <c r="D27" s="314">
        <f t="shared" si="1"/>
        <v>0</v>
      </c>
      <c r="E27" s="321"/>
      <c r="F27" s="321"/>
      <c r="G27" s="322"/>
      <c r="H27" s="317">
        <f t="shared" si="7"/>
        <v>0</v>
      </c>
      <c r="I27" s="321"/>
      <c r="J27" s="321"/>
      <c r="K27" s="329"/>
      <c r="L27" s="314">
        <f t="shared" si="2"/>
        <v>0</v>
      </c>
      <c r="M27" s="321"/>
      <c r="N27" s="321"/>
      <c r="O27" s="322"/>
      <c r="P27" s="317">
        <f t="shared" si="3"/>
        <v>0</v>
      </c>
      <c r="Q27" s="321"/>
      <c r="R27" s="321"/>
      <c r="S27" s="329"/>
      <c r="T27" s="314">
        <f t="shared" si="4"/>
        <v>0</v>
      </c>
      <c r="U27" s="336"/>
      <c r="V27" s="337"/>
      <c r="W27" s="334">
        <f t="shared" si="6"/>
        <v>0</v>
      </c>
      <c r="X27" s="335" t="e">
        <f t="shared" si="5"/>
        <v>#DIV/0!</v>
      </c>
      <c r="Y27" s="340"/>
      <c r="Z27" s="4"/>
    </row>
    <row r="28" s="205" customFormat="1" ht="22" customHeight="1" spans="1:26">
      <c r="A28" s="318" t="s">
        <v>153</v>
      </c>
      <c r="B28" s="319"/>
      <c r="C28" s="320"/>
      <c r="D28" s="314">
        <f t="shared" si="1"/>
        <v>0</v>
      </c>
      <c r="E28" s="321"/>
      <c r="F28" s="321"/>
      <c r="G28" s="322"/>
      <c r="H28" s="317">
        <f t="shared" si="7"/>
        <v>0</v>
      </c>
      <c r="I28" s="321"/>
      <c r="J28" s="321"/>
      <c r="K28" s="329"/>
      <c r="L28" s="314">
        <f t="shared" si="2"/>
        <v>0</v>
      </c>
      <c r="M28" s="321"/>
      <c r="N28" s="321"/>
      <c r="O28" s="322"/>
      <c r="P28" s="317">
        <f t="shared" si="3"/>
        <v>0</v>
      </c>
      <c r="Q28" s="321"/>
      <c r="R28" s="321"/>
      <c r="S28" s="329"/>
      <c r="T28" s="314">
        <f t="shared" si="4"/>
        <v>0</v>
      </c>
      <c r="U28" s="336"/>
      <c r="V28" s="337"/>
      <c r="W28" s="334">
        <f t="shared" si="6"/>
        <v>0</v>
      </c>
      <c r="X28" s="335" t="e">
        <f t="shared" si="5"/>
        <v>#DIV/0!</v>
      </c>
      <c r="Y28" s="340"/>
      <c r="Z28" s="4"/>
    </row>
    <row r="29" s="205" customFormat="1" ht="22" customHeight="1" spans="1:26">
      <c r="A29" s="318" t="s">
        <v>154</v>
      </c>
      <c r="B29" s="319"/>
      <c r="C29" s="320"/>
      <c r="D29" s="314">
        <f t="shared" si="1"/>
        <v>0</v>
      </c>
      <c r="E29" s="321"/>
      <c r="F29" s="321"/>
      <c r="G29" s="322"/>
      <c r="H29" s="317">
        <f t="shared" si="7"/>
        <v>0</v>
      </c>
      <c r="I29" s="321"/>
      <c r="J29" s="321"/>
      <c r="K29" s="329"/>
      <c r="L29" s="314">
        <f t="shared" si="2"/>
        <v>0</v>
      </c>
      <c r="M29" s="321"/>
      <c r="N29" s="321"/>
      <c r="O29" s="322"/>
      <c r="P29" s="317">
        <f t="shared" si="3"/>
        <v>0</v>
      </c>
      <c r="Q29" s="321"/>
      <c r="R29" s="321"/>
      <c r="S29" s="329"/>
      <c r="T29" s="314">
        <f t="shared" si="4"/>
        <v>0</v>
      </c>
      <c r="U29" s="336"/>
      <c r="V29" s="337"/>
      <c r="W29" s="334">
        <f t="shared" si="6"/>
        <v>0</v>
      </c>
      <c r="X29" s="335" t="e">
        <f t="shared" si="5"/>
        <v>#DIV/0!</v>
      </c>
      <c r="Y29" s="340"/>
      <c r="Z29" s="4"/>
    </row>
    <row r="30" s="205" customFormat="1" ht="22" customHeight="1" spans="1:26">
      <c r="A30" s="318" t="s">
        <v>144</v>
      </c>
      <c r="B30" s="319"/>
      <c r="C30" s="320"/>
      <c r="D30" s="314">
        <f t="shared" si="1"/>
        <v>0</v>
      </c>
      <c r="E30" s="321"/>
      <c r="F30" s="321"/>
      <c r="G30" s="322"/>
      <c r="H30" s="317">
        <f t="shared" si="7"/>
        <v>0</v>
      </c>
      <c r="I30" s="321"/>
      <c r="J30" s="321"/>
      <c r="K30" s="329"/>
      <c r="L30" s="314">
        <f t="shared" si="2"/>
        <v>0</v>
      </c>
      <c r="M30" s="321"/>
      <c r="N30" s="321"/>
      <c r="O30" s="322"/>
      <c r="P30" s="317">
        <f t="shared" si="3"/>
        <v>0</v>
      </c>
      <c r="Q30" s="321"/>
      <c r="R30" s="321"/>
      <c r="S30" s="329"/>
      <c r="T30" s="314">
        <f t="shared" si="4"/>
        <v>0</v>
      </c>
      <c r="U30" s="336"/>
      <c r="V30" s="337"/>
      <c r="W30" s="334">
        <f t="shared" si="6"/>
        <v>0</v>
      </c>
      <c r="X30" s="335" t="e">
        <f t="shared" si="5"/>
        <v>#DIV/0!</v>
      </c>
      <c r="Y30" s="340"/>
      <c r="Z30" s="4"/>
    </row>
    <row r="31" s="205" customFormat="1" ht="22" customHeight="1" spans="1:26">
      <c r="A31" s="325" t="s">
        <v>155</v>
      </c>
      <c r="B31" s="319"/>
      <c r="C31" s="320"/>
      <c r="D31" s="314">
        <f t="shared" si="1"/>
        <v>0</v>
      </c>
      <c r="E31" s="321"/>
      <c r="F31" s="321"/>
      <c r="G31" s="322"/>
      <c r="H31" s="317">
        <f t="shared" si="7"/>
        <v>0</v>
      </c>
      <c r="I31" s="321"/>
      <c r="J31" s="321"/>
      <c r="K31" s="329"/>
      <c r="L31" s="314">
        <f t="shared" si="2"/>
        <v>0</v>
      </c>
      <c r="M31" s="321"/>
      <c r="N31" s="321"/>
      <c r="O31" s="322"/>
      <c r="P31" s="317">
        <f t="shared" si="3"/>
        <v>0</v>
      </c>
      <c r="Q31" s="321"/>
      <c r="R31" s="321"/>
      <c r="S31" s="329"/>
      <c r="T31" s="314">
        <f t="shared" si="4"/>
        <v>0</v>
      </c>
      <c r="U31" s="336"/>
      <c r="V31" s="337"/>
      <c r="W31" s="334">
        <f t="shared" si="6"/>
        <v>0</v>
      </c>
      <c r="X31" s="335" t="e">
        <f t="shared" si="5"/>
        <v>#DIV/0!</v>
      </c>
      <c r="Y31" s="340"/>
      <c r="Z31" s="4"/>
    </row>
    <row r="32" s="205" customFormat="1" ht="22" customHeight="1" spans="1:26">
      <c r="A32" s="325" t="s">
        <v>156</v>
      </c>
      <c r="B32" s="319"/>
      <c r="C32" s="320"/>
      <c r="D32" s="314">
        <f t="shared" si="1"/>
        <v>0</v>
      </c>
      <c r="E32" s="321"/>
      <c r="F32" s="321"/>
      <c r="G32" s="322"/>
      <c r="H32" s="317">
        <f t="shared" si="7"/>
        <v>0</v>
      </c>
      <c r="I32" s="321"/>
      <c r="J32" s="321"/>
      <c r="K32" s="329"/>
      <c r="L32" s="314">
        <f t="shared" si="2"/>
        <v>0</v>
      </c>
      <c r="M32" s="321"/>
      <c r="N32" s="321"/>
      <c r="O32" s="322"/>
      <c r="P32" s="317">
        <f t="shared" si="3"/>
        <v>0</v>
      </c>
      <c r="Q32" s="321"/>
      <c r="R32" s="321"/>
      <c r="S32" s="329"/>
      <c r="T32" s="314">
        <f t="shared" si="4"/>
        <v>0</v>
      </c>
      <c r="U32" s="336"/>
      <c r="V32" s="337"/>
      <c r="W32" s="334">
        <f t="shared" si="6"/>
        <v>0</v>
      </c>
      <c r="X32" s="335" t="e">
        <f t="shared" si="5"/>
        <v>#DIV/0!</v>
      </c>
      <c r="Y32" s="340"/>
      <c r="Z32" s="4"/>
    </row>
    <row r="33" s="205" customFormat="1" ht="22" customHeight="1" spans="1:26">
      <c r="A33" s="325" t="s">
        <v>157</v>
      </c>
      <c r="B33" s="319"/>
      <c r="C33" s="320"/>
      <c r="D33" s="314">
        <f t="shared" si="1"/>
        <v>0</v>
      </c>
      <c r="E33" s="321"/>
      <c r="F33" s="321"/>
      <c r="G33" s="322"/>
      <c r="H33" s="317">
        <f t="shared" si="7"/>
        <v>0</v>
      </c>
      <c r="I33" s="321"/>
      <c r="J33" s="321"/>
      <c r="K33" s="329"/>
      <c r="L33" s="314">
        <f t="shared" si="2"/>
        <v>0</v>
      </c>
      <c r="M33" s="321"/>
      <c r="N33" s="321"/>
      <c r="O33" s="322"/>
      <c r="P33" s="317">
        <f t="shared" si="3"/>
        <v>0</v>
      </c>
      <c r="Q33" s="321"/>
      <c r="R33" s="321"/>
      <c r="S33" s="329"/>
      <c r="T33" s="314">
        <f t="shared" si="4"/>
        <v>0</v>
      </c>
      <c r="U33" s="336"/>
      <c r="V33" s="337"/>
      <c r="W33" s="334">
        <f t="shared" si="6"/>
        <v>0</v>
      </c>
      <c r="X33" s="335" t="e">
        <f t="shared" si="5"/>
        <v>#DIV/0!</v>
      </c>
      <c r="Y33" s="340"/>
      <c r="Z33" s="4"/>
    </row>
    <row r="34" s="205" customFormat="1" ht="22" customHeight="1" spans="1:26">
      <c r="A34" s="325" t="s">
        <v>158</v>
      </c>
      <c r="B34" s="319"/>
      <c r="C34" s="320"/>
      <c r="D34" s="314">
        <f t="shared" si="1"/>
        <v>0</v>
      </c>
      <c r="E34" s="321"/>
      <c r="F34" s="321"/>
      <c r="G34" s="322"/>
      <c r="H34" s="317">
        <f t="shared" si="7"/>
        <v>0</v>
      </c>
      <c r="I34" s="321"/>
      <c r="J34" s="321"/>
      <c r="K34" s="329"/>
      <c r="L34" s="314">
        <f t="shared" si="2"/>
        <v>0</v>
      </c>
      <c r="M34" s="321"/>
      <c r="N34" s="321"/>
      <c r="O34" s="322"/>
      <c r="P34" s="317">
        <f t="shared" si="3"/>
        <v>0</v>
      </c>
      <c r="Q34" s="321"/>
      <c r="R34" s="321"/>
      <c r="S34" s="329"/>
      <c r="T34" s="314">
        <f t="shared" si="4"/>
        <v>0</v>
      </c>
      <c r="U34" s="336"/>
      <c r="V34" s="337"/>
      <c r="W34" s="334">
        <f t="shared" si="6"/>
        <v>0</v>
      </c>
      <c r="X34" s="335" t="e">
        <f t="shared" si="5"/>
        <v>#DIV/0!</v>
      </c>
      <c r="Y34" s="340"/>
      <c r="Z34" s="4"/>
    </row>
    <row r="35" s="205" customFormat="1" ht="22" customHeight="1" spans="1:26">
      <c r="A35" s="325" t="s">
        <v>159</v>
      </c>
      <c r="B35" s="319"/>
      <c r="C35" s="320"/>
      <c r="D35" s="314">
        <f t="shared" si="1"/>
        <v>0</v>
      </c>
      <c r="E35" s="321"/>
      <c r="F35" s="321"/>
      <c r="G35" s="322"/>
      <c r="H35" s="317">
        <f t="shared" si="7"/>
        <v>0</v>
      </c>
      <c r="I35" s="321"/>
      <c r="J35" s="321"/>
      <c r="K35" s="329"/>
      <c r="L35" s="314">
        <f t="shared" si="2"/>
        <v>0</v>
      </c>
      <c r="M35" s="321"/>
      <c r="N35" s="321"/>
      <c r="O35" s="322"/>
      <c r="P35" s="317">
        <f t="shared" si="3"/>
        <v>0</v>
      </c>
      <c r="Q35" s="321"/>
      <c r="R35" s="321"/>
      <c r="S35" s="329"/>
      <c r="T35" s="314">
        <f t="shared" si="4"/>
        <v>0</v>
      </c>
      <c r="U35" s="336"/>
      <c r="V35" s="337"/>
      <c r="W35" s="334">
        <f t="shared" si="6"/>
        <v>0</v>
      </c>
      <c r="X35" s="335" t="e">
        <f t="shared" si="5"/>
        <v>#DIV/0!</v>
      </c>
      <c r="Y35" s="340"/>
      <c r="Z35" s="4"/>
    </row>
    <row r="36" s="205" customFormat="1" ht="22" customHeight="1" spans="1:26">
      <c r="A36" s="325" t="s">
        <v>160</v>
      </c>
      <c r="B36" s="319"/>
      <c r="C36" s="320"/>
      <c r="D36" s="314">
        <f t="shared" si="1"/>
        <v>0</v>
      </c>
      <c r="E36" s="321"/>
      <c r="F36" s="321"/>
      <c r="G36" s="322"/>
      <c r="H36" s="317">
        <f t="shared" si="7"/>
        <v>0</v>
      </c>
      <c r="I36" s="321"/>
      <c r="J36" s="321"/>
      <c r="K36" s="329"/>
      <c r="L36" s="314">
        <f t="shared" si="2"/>
        <v>0</v>
      </c>
      <c r="M36" s="321"/>
      <c r="N36" s="321"/>
      <c r="O36" s="322"/>
      <c r="P36" s="317">
        <f t="shared" si="3"/>
        <v>0</v>
      </c>
      <c r="Q36" s="321"/>
      <c r="R36" s="321"/>
      <c r="S36" s="329"/>
      <c r="T36" s="314">
        <f t="shared" si="4"/>
        <v>0</v>
      </c>
      <c r="U36" s="336"/>
      <c r="V36" s="337"/>
      <c r="W36" s="334">
        <f t="shared" si="6"/>
        <v>0</v>
      </c>
      <c r="X36" s="335" t="e">
        <f t="shared" si="5"/>
        <v>#DIV/0!</v>
      </c>
      <c r="Y36" s="340"/>
      <c r="Z36" s="4"/>
    </row>
    <row r="37" s="205" customFormat="1" ht="22" customHeight="1" spans="1:26">
      <c r="A37" s="325" t="s">
        <v>161</v>
      </c>
      <c r="B37" s="319"/>
      <c r="C37" s="320"/>
      <c r="D37" s="314">
        <f t="shared" ref="D37:D78" si="8">SUM(E37:G37)</f>
        <v>0</v>
      </c>
      <c r="E37" s="321"/>
      <c r="F37" s="321"/>
      <c r="G37" s="322"/>
      <c r="H37" s="317">
        <f t="shared" si="7"/>
        <v>0</v>
      </c>
      <c r="I37" s="321"/>
      <c r="J37" s="321"/>
      <c r="K37" s="329"/>
      <c r="L37" s="314">
        <f t="shared" ref="L37:L79" si="9">SUM(M37:O37)</f>
        <v>0</v>
      </c>
      <c r="M37" s="321"/>
      <c r="N37" s="321"/>
      <c r="O37" s="322"/>
      <c r="P37" s="317">
        <f t="shared" ref="P37:P79" si="10">SUM(Q37:S37)</f>
        <v>0</v>
      </c>
      <c r="Q37" s="321"/>
      <c r="R37" s="321"/>
      <c r="S37" s="329"/>
      <c r="T37" s="314">
        <f t="shared" ref="T37:T68" si="11">D37+H37+L37+P37</f>
        <v>0</v>
      </c>
      <c r="U37" s="336"/>
      <c r="V37" s="337"/>
      <c r="W37" s="334">
        <f t="shared" ref="W37:W68" si="12">T37-V37</f>
        <v>0</v>
      </c>
      <c r="X37" s="335" t="e">
        <f t="shared" ref="X37:X68" si="13">W37/T37</f>
        <v>#DIV/0!</v>
      </c>
      <c r="Y37" s="340"/>
      <c r="Z37" s="4"/>
    </row>
    <row r="38" s="205" customFormat="1" ht="22" customHeight="1" spans="1:26">
      <c r="A38" s="325" t="s">
        <v>162</v>
      </c>
      <c r="B38" s="319"/>
      <c r="C38" s="320"/>
      <c r="D38" s="314">
        <f t="shared" si="8"/>
        <v>0</v>
      </c>
      <c r="E38" s="321"/>
      <c r="F38" s="321"/>
      <c r="G38" s="322"/>
      <c r="H38" s="317">
        <f t="shared" si="7"/>
        <v>0</v>
      </c>
      <c r="I38" s="321"/>
      <c r="J38" s="321"/>
      <c r="K38" s="329"/>
      <c r="L38" s="314">
        <f t="shared" si="9"/>
        <v>0</v>
      </c>
      <c r="M38" s="321"/>
      <c r="N38" s="321"/>
      <c r="O38" s="322"/>
      <c r="P38" s="317">
        <f t="shared" si="10"/>
        <v>0</v>
      </c>
      <c r="Q38" s="321"/>
      <c r="R38" s="321"/>
      <c r="S38" s="329"/>
      <c r="T38" s="314">
        <f t="shared" si="11"/>
        <v>0</v>
      </c>
      <c r="U38" s="336"/>
      <c r="V38" s="337"/>
      <c r="W38" s="334">
        <f t="shared" si="12"/>
        <v>0</v>
      </c>
      <c r="X38" s="335" t="e">
        <f t="shared" si="13"/>
        <v>#DIV/0!</v>
      </c>
      <c r="Y38" s="340"/>
      <c r="Z38" s="4"/>
    </row>
    <row r="39" s="205" customFormat="1" ht="22" customHeight="1" spans="1:26">
      <c r="A39" s="325" t="s">
        <v>163</v>
      </c>
      <c r="B39" s="319"/>
      <c r="C39" s="320"/>
      <c r="D39" s="314">
        <f t="shared" si="8"/>
        <v>0</v>
      </c>
      <c r="E39" s="326"/>
      <c r="F39" s="326"/>
      <c r="G39" s="327"/>
      <c r="H39" s="317">
        <f t="shared" si="7"/>
        <v>0</v>
      </c>
      <c r="I39" s="326"/>
      <c r="J39" s="326"/>
      <c r="K39" s="330"/>
      <c r="L39" s="314">
        <f t="shared" si="9"/>
        <v>0</v>
      </c>
      <c r="M39" s="326"/>
      <c r="N39" s="326"/>
      <c r="O39" s="327"/>
      <c r="P39" s="317">
        <f t="shared" si="10"/>
        <v>0</v>
      </c>
      <c r="Q39" s="326"/>
      <c r="R39" s="326"/>
      <c r="S39" s="330"/>
      <c r="T39" s="314">
        <f t="shared" si="11"/>
        <v>0</v>
      </c>
      <c r="U39" s="336"/>
      <c r="V39" s="336"/>
      <c r="W39" s="334">
        <f t="shared" si="12"/>
        <v>0</v>
      </c>
      <c r="X39" s="335" t="e">
        <f t="shared" si="13"/>
        <v>#DIV/0!</v>
      </c>
      <c r="Y39" s="340"/>
      <c r="Z39" s="4"/>
    </row>
    <row r="40" s="205" customFormat="1" ht="22" customHeight="1" spans="1:26">
      <c r="A40" s="325" t="s">
        <v>164</v>
      </c>
      <c r="B40" s="319"/>
      <c r="C40" s="320"/>
      <c r="D40" s="314">
        <f t="shared" si="8"/>
        <v>0</v>
      </c>
      <c r="E40" s="321"/>
      <c r="F40" s="321"/>
      <c r="G40" s="322"/>
      <c r="H40" s="317">
        <f t="shared" si="7"/>
        <v>0</v>
      </c>
      <c r="I40" s="321"/>
      <c r="J40" s="321"/>
      <c r="K40" s="329"/>
      <c r="L40" s="314">
        <f t="shared" si="9"/>
        <v>0</v>
      </c>
      <c r="M40" s="321"/>
      <c r="N40" s="321"/>
      <c r="O40" s="322"/>
      <c r="P40" s="317">
        <f t="shared" si="10"/>
        <v>0</v>
      </c>
      <c r="Q40" s="321"/>
      <c r="R40" s="321"/>
      <c r="S40" s="329"/>
      <c r="T40" s="314">
        <f t="shared" si="11"/>
        <v>0</v>
      </c>
      <c r="U40" s="336"/>
      <c r="V40" s="337"/>
      <c r="W40" s="334">
        <f t="shared" si="12"/>
        <v>0</v>
      </c>
      <c r="X40" s="335" t="e">
        <f t="shared" si="13"/>
        <v>#DIV/0!</v>
      </c>
      <c r="Y40" s="340"/>
      <c r="Z40" s="4"/>
    </row>
    <row r="41" s="205" customFormat="1" ht="22" customHeight="1" spans="1:26">
      <c r="A41" s="325" t="s">
        <v>165</v>
      </c>
      <c r="B41" s="319"/>
      <c r="C41" s="320"/>
      <c r="D41" s="314">
        <f t="shared" si="8"/>
        <v>0</v>
      </c>
      <c r="E41" s="321"/>
      <c r="F41" s="321"/>
      <c r="G41" s="322"/>
      <c r="H41" s="317">
        <f t="shared" si="7"/>
        <v>0</v>
      </c>
      <c r="I41" s="321"/>
      <c r="J41" s="321"/>
      <c r="K41" s="329"/>
      <c r="L41" s="314">
        <f t="shared" si="9"/>
        <v>0</v>
      </c>
      <c r="M41" s="321"/>
      <c r="N41" s="321"/>
      <c r="O41" s="322"/>
      <c r="P41" s="317">
        <f t="shared" si="10"/>
        <v>0</v>
      </c>
      <c r="Q41" s="321"/>
      <c r="R41" s="321"/>
      <c r="S41" s="329"/>
      <c r="T41" s="314">
        <f t="shared" si="11"/>
        <v>0</v>
      </c>
      <c r="U41" s="336"/>
      <c r="V41" s="337"/>
      <c r="W41" s="334">
        <f t="shared" si="12"/>
        <v>0</v>
      </c>
      <c r="X41" s="335" t="e">
        <f t="shared" si="13"/>
        <v>#DIV/0!</v>
      </c>
      <c r="Y41" s="340"/>
      <c r="Z41" s="4"/>
    </row>
    <row r="42" s="205" customFormat="1" ht="22" customHeight="1" spans="1:26">
      <c r="A42" s="325" t="s">
        <v>166</v>
      </c>
      <c r="B42" s="319"/>
      <c r="C42" s="320"/>
      <c r="D42" s="314">
        <f t="shared" si="8"/>
        <v>0</v>
      </c>
      <c r="E42" s="321"/>
      <c r="F42" s="321"/>
      <c r="G42" s="322"/>
      <c r="H42" s="317">
        <f t="shared" ref="H42:H78" si="14">SUM(I42:K42)</f>
        <v>0</v>
      </c>
      <c r="I42" s="321"/>
      <c r="J42" s="321"/>
      <c r="K42" s="329"/>
      <c r="L42" s="314">
        <f t="shared" si="9"/>
        <v>0</v>
      </c>
      <c r="M42" s="321"/>
      <c r="N42" s="321"/>
      <c r="O42" s="322"/>
      <c r="P42" s="317">
        <f t="shared" si="10"/>
        <v>0</v>
      </c>
      <c r="Q42" s="321"/>
      <c r="R42" s="321"/>
      <c r="S42" s="329"/>
      <c r="T42" s="314">
        <f t="shared" si="11"/>
        <v>0</v>
      </c>
      <c r="U42" s="336"/>
      <c r="V42" s="337"/>
      <c r="W42" s="334">
        <f t="shared" si="12"/>
        <v>0</v>
      </c>
      <c r="X42" s="335" t="e">
        <f t="shared" si="13"/>
        <v>#DIV/0!</v>
      </c>
      <c r="Y42" s="340"/>
      <c r="Z42" s="4"/>
    </row>
    <row r="43" s="205" customFormat="1" ht="22" customHeight="1" spans="1:26">
      <c r="A43" s="325" t="s">
        <v>167</v>
      </c>
      <c r="B43" s="319"/>
      <c r="C43" s="320"/>
      <c r="D43" s="314">
        <f t="shared" si="8"/>
        <v>0</v>
      </c>
      <c r="E43" s="321"/>
      <c r="F43" s="321"/>
      <c r="G43" s="322"/>
      <c r="H43" s="317">
        <f t="shared" si="14"/>
        <v>0</v>
      </c>
      <c r="I43" s="321"/>
      <c r="J43" s="321"/>
      <c r="K43" s="329"/>
      <c r="L43" s="314">
        <f t="shared" si="9"/>
        <v>0</v>
      </c>
      <c r="M43" s="321"/>
      <c r="N43" s="321"/>
      <c r="O43" s="322"/>
      <c r="P43" s="317">
        <f t="shared" si="10"/>
        <v>0</v>
      </c>
      <c r="Q43" s="321"/>
      <c r="R43" s="321"/>
      <c r="S43" s="329"/>
      <c r="T43" s="314">
        <f t="shared" si="11"/>
        <v>0</v>
      </c>
      <c r="U43" s="336"/>
      <c r="V43" s="337"/>
      <c r="W43" s="334">
        <f t="shared" si="12"/>
        <v>0</v>
      </c>
      <c r="X43" s="335" t="e">
        <f t="shared" si="13"/>
        <v>#DIV/0!</v>
      </c>
      <c r="Y43" s="340"/>
      <c r="Z43" s="4"/>
    </row>
    <row r="44" s="205" customFormat="1" ht="22" customHeight="1" spans="1:26">
      <c r="A44" s="318" t="s">
        <v>168</v>
      </c>
      <c r="B44" s="319"/>
      <c r="C44" s="320"/>
      <c r="D44" s="314">
        <f t="shared" si="8"/>
        <v>0</v>
      </c>
      <c r="E44" s="321"/>
      <c r="F44" s="321"/>
      <c r="G44" s="322"/>
      <c r="H44" s="317">
        <f t="shared" si="14"/>
        <v>0</v>
      </c>
      <c r="I44" s="321"/>
      <c r="J44" s="321"/>
      <c r="K44" s="329"/>
      <c r="L44" s="314">
        <f t="shared" si="9"/>
        <v>0</v>
      </c>
      <c r="M44" s="321"/>
      <c r="N44" s="321"/>
      <c r="O44" s="322"/>
      <c r="P44" s="317">
        <f t="shared" si="10"/>
        <v>0</v>
      </c>
      <c r="Q44" s="321"/>
      <c r="R44" s="321"/>
      <c r="S44" s="329"/>
      <c r="T44" s="314">
        <f t="shared" si="11"/>
        <v>0</v>
      </c>
      <c r="U44" s="336"/>
      <c r="V44" s="337"/>
      <c r="W44" s="334">
        <f t="shared" si="12"/>
        <v>0</v>
      </c>
      <c r="X44" s="335" t="e">
        <f t="shared" si="13"/>
        <v>#DIV/0!</v>
      </c>
      <c r="Y44" s="340"/>
      <c r="Z44" s="4"/>
    </row>
    <row r="45" s="205" customFormat="1" ht="22" customHeight="1" spans="1:26">
      <c r="A45" s="318" t="s">
        <v>169</v>
      </c>
      <c r="B45" s="319"/>
      <c r="C45" s="320"/>
      <c r="D45" s="314">
        <f t="shared" si="8"/>
        <v>0</v>
      </c>
      <c r="E45" s="321"/>
      <c r="F45" s="321"/>
      <c r="G45" s="322"/>
      <c r="H45" s="317">
        <f t="shared" si="14"/>
        <v>0</v>
      </c>
      <c r="I45" s="321"/>
      <c r="J45" s="321"/>
      <c r="K45" s="329"/>
      <c r="L45" s="314">
        <f t="shared" si="9"/>
        <v>0</v>
      </c>
      <c r="M45" s="321"/>
      <c r="N45" s="321"/>
      <c r="O45" s="322"/>
      <c r="P45" s="317">
        <f t="shared" si="10"/>
        <v>0</v>
      </c>
      <c r="Q45" s="321"/>
      <c r="R45" s="321"/>
      <c r="S45" s="329"/>
      <c r="T45" s="314">
        <f t="shared" si="11"/>
        <v>0</v>
      </c>
      <c r="U45" s="336"/>
      <c r="V45" s="337"/>
      <c r="W45" s="334">
        <f t="shared" si="12"/>
        <v>0</v>
      </c>
      <c r="X45" s="335" t="e">
        <f t="shared" si="13"/>
        <v>#DIV/0!</v>
      </c>
      <c r="Y45" s="340"/>
      <c r="Z45" s="4"/>
    </row>
    <row r="46" s="205" customFormat="1" ht="22" customHeight="1" spans="1:26">
      <c r="A46" s="318" t="s">
        <v>170</v>
      </c>
      <c r="B46" s="319"/>
      <c r="C46" s="320"/>
      <c r="D46" s="314">
        <f t="shared" si="8"/>
        <v>0</v>
      </c>
      <c r="E46" s="326"/>
      <c r="F46" s="326"/>
      <c r="G46" s="327"/>
      <c r="H46" s="317">
        <f t="shared" si="14"/>
        <v>0</v>
      </c>
      <c r="I46" s="326"/>
      <c r="J46" s="326"/>
      <c r="K46" s="330"/>
      <c r="L46" s="314">
        <f t="shared" si="9"/>
        <v>0</v>
      </c>
      <c r="M46" s="326"/>
      <c r="N46" s="326"/>
      <c r="O46" s="327"/>
      <c r="P46" s="317">
        <f t="shared" si="10"/>
        <v>0</v>
      </c>
      <c r="Q46" s="326"/>
      <c r="R46" s="326"/>
      <c r="S46" s="330"/>
      <c r="T46" s="314">
        <f t="shared" si="11"/>
        <v>0</v>
      </c>
      <c r="U46" s="336"/>
      <c r="V46" s="336"/>
      <c r="W46" s="334">
        <f t="shared" si="12"/>
        <v>0</v>
      </c>
      <c r="X46" s="335" t="e">
        <f t="shared" si="13"/>
        <v>#DIV/0!</v>
      </c>
      <c r="Y46" s="340"/>
      <c r="Z46" s="4"/>
    </row>
    <row r="47" s="205" customFormat="1" ht="22" customHeight="1" spans="1:26">
      <c r="A47" s="318" t="s">
        <v>171</v>
      </c>
      <c r="B47" s="319"/>
      <c r="C47" s="320"/>
      <c r="D47" s="314">
        <f t="shared" si="8"/>
        <v>0</v>
      </c>
      <c r="E47" s="321"/>
      <c r="F47" s="321"/>
      <c r="G47" s="322"/>
      <c r="H47" s="317">
        <f t="shared" si="14"/>
        <v>0</v>
      </c>
      <c r="I47" s="321"/>
      <c r="J47" s="321"/>
      <c r="K47" s="329"/>
      <c r="L47" s="314">
        <f t="shared" si="9"/>
        <v>0</v>
      </c>
      <c r="M47" s="321"/>
      <c r="N47" s="321"/>
      <c r="O47" s="322"/>
      <c r="P47" s="317">
        <f t="shared" si="10"/>
        <v>0</v>
      </c>
      <c r="Q47" s="321"/>
      <c r="R47" s="321"/>
      <c r="S47" s="329"/>
      <c r="T47" s="314">
        <f t="shared" si="11"/>
        <v>0</v>
      </c>
      <c r="U47" s="336"/>
      <c r="V47" s="337"/>
      <c r="W47" s="334">
        <f t="shared" si="12"/>
        <v>0</v>
      </c>
      <c r="X47" s="335" t="e">
        <f t="shared" si="13"/>
        <v>#DIV/0!</v>
      </c>
      <c r="Y47" s="340"/>
      <c r="Z47" s="4"/>
    </row>
    <row r="48" s="205" customFormat="1" ht="22" customHeight="1" spans="1:26">
      <c r="A48" s="318" t="s">
        <v>172</v>
      </c>
      <c r="B48" s="319"/>
      <c r="C48" s="320"/>
      <c r="D48" s="314">
        <f t="shared" si="8"/>
        <v>0</v>
      </c>
      <c r="E48" s="321"/>
      <c r="F48" s="321"/>
      <c r="G48" s="322"/>
      <c r="H48" s="317">
        <f t="shared" si="14"/>
        <v>0</v>
      </c>
      <c r="I48" s="321"/>
      <c r="J48" s="321"/>
      <c r="K48" s="329"/>
      <c r="L48" s="314">
        <f t="shared" si="9"/>
        <v>0</v>
      </c>
      <c r="M48" s="321"/>
      <c r="N48" s="321"/>
      <c r="O48" s="322"/>
      <c r="P48" s="317">
        <f t="shared" si="10"/>
        <v>0</v>
      </c>
      <c r="Q48" s="321"/>
      <c r="R48" s="321"/>
      <c r="S48" s="329"/>
      <c r="T48" s="314">
        <f t="shared" si="11"/>
        <v>0</v>
      </c>
      <c r="U48" s="336"/>
      <c r="V48" s="337"/>
      <c r="W48" s="334">
        <f t="shared" si="12"/>
        <v>0</v>
      </c>
      <c r="X48" s="335" t="e">
        <f t="shared" si="13"/>
        <v>#DIV/0!</v>
      </c>
      <c r="Y48" s="340"/>
      <c r="Z48" s="4"/>
    </row>
    <row r="49" s="205" customFormat="1" ht="22" customHeight="1" spans="1:26">
      <c r="A49" s="318" t="s">
        <v>144</v>
      </c>
      <c r="B49" s="319"/>
      <c r="C49" s="320"/>
      <c r="D49" s="314">
        <f t="shared" si="8"/>
        <v>0</v>
      </c>
      <c r="E49" s="321"/>
      <c r="F49" s="321"/>
      <c r="G49" s="322"/>
      <c r="H49" s="317">
        <f t="shared" si="14"/>
        <v>0</v>
      </c>
      <c r="I49" s="321"/>
      <c r="J49" s="321"/>
      <c r="K49" s="329"/>
      <c r="L49" s="314">
        <f t="shared" si="9"/>
        <v>0</v>
      </c>
      <c r="M49" s="321"/>
      <c r="N49" s="321"/>
      <c r="O49" s="322"/>
      <c r="P49" s="317">
        <f t="shared" si="10"/>
        <v>0</v>
      </c>
      <c r="Q49" s="321"/>
      <c r="R49" s="321"/>
      <c r="S49" s="329"/>
      <c r="T49" s="314">
        <f t="shared" si="11"/>
        <v>0</v>
      </c>
      <c r="U49" s="336"/>
      <c r="V49" s="337"/>
      <c r="W49" s="334">
        <f t="shared" si="12"/>
        <v>0</v>
      </c>
      <c r="X49" s="335" t="e">
        <f t="shared" si="13"/>
        <v>#DIV/0!</v>
      </c>
      <c r="Y49" s="340"/>
      <c r="Z49" s="4"/>
    </row>
    <row r="50" s="205" customFormat="1" ht="22" customHeight="1" spans="1:26">
      <c r="A50" s="325" t="s">
        <v>173</v>
      </c>
      <c r="B50" s="319"/>
      <c r="C50" s="320"/>
      <c r="D50" s="314">
        <f t="shared" si="8"/>
        <v>0</v>
      </c>
      <c r="E50" s="321"/>
      <c r="F50" s="321"/>
      <c r="G50" s="322"/>
      <c r="H50" s="317">
        <f t="shared" si="14"/>
        <v>0</v>
      </c>
      <c r="I50" s="321"/>
      <c r="J50" s="321"/>
      <c r="K50" s="329"/>
      <c r="L50" s="314">
        <f t="shared" si="9"/>
        <v>0</v>
      </c>
      <c r="M50" s="321"/>
      <c r="N50" s="321"/>
      <c r="O50" s="322"/>
      <c r="P50" s="317">
        <f t="shared" si="10"/>
        <v>0</v>
      </c>
      <c r="Q50" s="321"/>
      <c r="R50" s="321"/>
      <c r="S50" s="329"/>
      <c r="T50" s="314">
        <f t="shared" si="11"/>
        <v>0</v>
      </c>
      <c r="U50" s="336"/>
      <c r="V50" s="337"/>
      <c r="W50" s="334">
        <f t="shared" si="12"/>
        <v>0</v>
      </c>
      <c r="X50" s="335" t="e">
        <f t="shared" si="13"/>
        <v>#DIV/0!</v>
      </c>
      <c r="Y50" s="340"/>
      <c r="Z50" s="4"/>
    </row>
    <row r="51" s="205" customFormat="1" ht="22" customHeight="1" spans="1:26">
      <c r="A51" s="318" t="s">
        <v>174</v>
      </c>
      <c r="B51" s="319"/>
      <c r="C51" s="320"/>
      <c r="D51" s="314">
        <f t="shared" si="8"/>
        <v>0</v>
      </c>
      <c r="E51" s="321"/>
      <c r="F51" s="321"/>
      <c r="G51" s="322"/>
      <c r="H51" s="317">
        <f t="shared" si="14"/>
        <v>0</v>
      </c>
      <c r="I51" s="321"/>
      <c r="J51" s="321"/>
      <c r="K51" s="329"/>
      <c r="L51" s="314">
        <f t="shared" si="9"/>
        <v>0</v>
      </c>
      <c r="M51" s="321"/>
      <c r="N51" s="321"/>
      <c r="O51" s="322"/>
      <c r="P51" s="317">
        <f t="shared" si="10"/>
        <v>0</v>
      </c>
      <c r="Q51" s="321"/>
      <c r="R51" s="321"/>
      <c r="S51" s="329"/>
      <c r="T51" s="314">
        <f t="shared" si="11"/>
        <v>0</v>
      </c>
      <c r="U51" s="336"/>
      <c r="V51" s="337"/>
      <c r="W51" s="334">
        <f t="shared" si="12"/>
        <v>0</v>
      </c>
      <c r="X51" s="335" t="e">
        <f t="shared" si="13"/>
        <v>#DIV/0!</v>
      </c>
      <c r="Y51" s="340"/>
      <c r="Z51" s="4"/>
    </row>
    <row r="52" s="205" customFormat="1" ht="22" customHeight="1" spans="1:26">
      <c r="A52" s="318" t="s">
        <v>175</v>
      </c>
      <c r="B52" s="319"/>
      <c r="C52" s="320"/>
      <c r="D52" s="314">
        <f t="shared" si="8"/>
        <v>0</v>
      </c>
      <c r="E52" s="321"/>
      <c r="F52" s="321"/>
      <c r="G52" s="322"/>
      <c r="H52" s="317">
        <f t="shared" si="14"/>
        <v>0</v>
      </c>
      <c r="I52" s="321"/>
      <c r="J52" s="321"/>
      <c r="K52" s="329"/>
      <c r="L52" s="314">
        <f t="shared" si="9"/>
        <v>0</v>
      </c>
      <c r="M52" s="321"/>
      <c r="N52" s="321"/>
      <c r="O52" s="322"/>
      <c r="P52" s="317">
        <f t="shared" si="10"/>
        <v>0</v>
      </c>
      <c r="Q52" s="321"/>
      <c r="R52" s="321"/>
      <c r="S52" s="329"/>
      <c r="T52" s="314">
        <f t="shared" si="11"/>
        <v>0</v>
      </c>
      <c r="U52" s="336"/>
      <c r="V52" s="337"/>
      <c r="W52" s="334">
        <f t="shared" si="12"/>
        <v>0</v>
      </c>
      <c r="X52" s="335" t="e">
        <f t="shared" si="13"/>
        <v>#DIV/0!</v>
      </c>
      <c r="Y52" s="340"/>
      <c r="Z52" s="4"/>
    </row>
    <row r="53" s="205" customFormat="1" ht="22" customHeight="1" spans="1:26">
      <c r="A53" s="318" t="s">
        <v>176</v>
      </c>
      <c r="B53" s="319"/>
      <c r="C53" s="320"/>
      <c r="D53" s="314">
        <f t="shared" si="8"/>
        <v>0</v>
      </c>
      <c r="E53" s="321"/>
      <c r="F53" s="321"/>
      <c r="G53" s="322"/>
      <c r="H53" s="317">
        <f t="shared" si="14"/>
        <v>0</v>
      </c>
      <c r="I53" s="321"/>
      <c r="J53" s="321"/>
      <c r="K53" s="329"/>
      <c r="L53" s="314">
        <f t="shared" si="9"/>
        <v>0</v>
      </c>
      <c r="M53" s="321"/>
      <c r="N53" s="321"/>
      <c r="O53" s="322"/>
      <c r="P53" s="317">
        <f t="shared" si="10"/>
        <v>0</v>
      </c>
      <c r="Q53" s="321"/>
      <c r="R53" s="321"/>
      <c r="S53" s="329"/>
      <c r="T53" s="314">
        <f t="shared" si="11"/>
        <v>0</v>
      </c>
      <c r="U53" s="336"/>
      <c r="V53" s="336"/>
      <c r="W53" s="334">
        <f t="shared" si="12"/>
        <v>0</v>
      </c>
      <c r="X53" s="335" t="e">
        <f t="shared" si="13"/>
        <v>#DIV/0!</v>
      </c>
      <c r="Y53" s="340"/>
      <c r="Z53" s="4"/>
    </row>
    <row r="54" s="205" customFormat="1" ht="22" customHeight="1" spans="1:26">
      <c r="A54" s="318" t="s">
        <v>177</v>
      </c>
      <c r="B54" s="319"/>
      <c r="C54" s="320"/>
      <c r="D54" s="314">
        <f t="shared" si="8"/>
        <v>0</v>
      </c>
      <c r="E54" s="321"/>
      <c r="F54" s="321"/>
      <c r="G54" s="322"/>
      <c r="H54" s="317">
        <f t="shared" si="14"/>
        <v>0</v>
      </c>
      <c r="I54" s="321"/>
      <c r="J54" s="321"/>
      <c r="K54" s="329"/>
      <c r="L54" s="314">
        <f t="shared" si="9"/>
        <v>0</v>
      </c>
      <c r="M54" s="321"/>
      <c r="N54" s="321"/>
      <c r="O54" s="322"/>
      <c r="P54" s="317">
        <f t="shared" si="10"/>
        <v>0</v>
      </c>
      <c r="Q54" s="321"/>
      <c r="R54" s="321"/>
      <c r="S54" s="329"/>
      <c r="T54" s="314">
        <f t="shared" si="11"/>
        <v>0</v>
      </c>
      <c r="U54" s="336"/>
      <c r="V54" s="337"/>
      <c r="W54" s="334">
        <f t="shared" si="12"/>
        <v>0</v>
      </c>
      <c r="X54" s="335" t="e">
        <f t="shared" si="13"/>
        <v>#DIV/0!</v>
      </c>
      <c r="Y54" s="340"/>
      <c r="Z54" s="4"/>
    </row>
    <row r="55" s="205" customFormat="1" ht="22" customHeight="1" spans="1:26">
      <c r="A55" s="318" t="s">
        <v>178</v>
      </c>
      <c r="B55" s="319"/>
      <c r="C55" s="320"/>
      <c r="D55" s="314">
        <f t="shared" si="8"/>
        <v>0</v>
      </c>
      <c r="E55" s="321"/>
      <c r="F55" s="321"/>
      <c r="G55" s="322"/>
      <c r="H55" s="317">
        <f t="shared" si="14"/>
        <v>0</v>
      </c>
      <c r="I55" s="321"/>
      <c r="J55" s="321"/>
      <c r="K55" s="329"/>
      <c r="L55" s="314">
        <f t="shared" si="9"/>
        <v>0</v>
      </c>
      <c r="M55" s="321"/>
      <c r="N55" s="321"/>
      <c r="O55" s="322"/>
      <c r="P55" s="317">
        <f t="shared" si="10"/>
        <v>0</v>
      </c>
      <c r="Q55" s="321"/>
      <c r="R55" s="321"/>
      <c r="S55" s="329"/>
      <c r="T55" s="314">
        <f t="shared" si="11"/>
        <v>0</v>
      </c>
      <c r="U55" s="336"/>
      <c r="V55" s="337"/>
      <c r="W55" s="334">
        <f t="shared" si="12"/>
        <v>0</v>
      </c>
      <c r="X55" s="335" t="e">
        <f t="shared" si="13"/>
        <v>#DIV/0!</v>
      </c>
      <c r="Y55" s="340"/>
      <c r="Z55" s="4"/>
    </row>
    <row r="56" s="205" customFormat="1" ht="22" customHeight="1" spans="1:26">
      <c r="A56" s="318" t="s">
        <v>179</v>
      </c>
      <c r="B56" s="319"/>
      <c r="C56" s="320"/>
      <c r="D56" s="314">
        <f t="shared" si="8"/>
        <v>0</v>
      </c>
      <c r="E56" s="321"/>
      <c r="F56" s="321"/>
      <c r="G56" s="322"/>
      <c r="H56" s="317">
        <f t="shared" si="14"/>
        <v>0</v>
      </c>
      <c r="I56" s="321"/>
      <c r="J56" s="321"/>
      <c r="K56" s="329"/>
      <c r="L56" s="314">
        <f t="shared" si="9"/>
        <v>0</v>
      </c>
      <c r="M56" s="321"/>
      <c r="N56" s="321"/>
      <c r="O56" s="322"/>
      <c r="P56" s="317">
        <f t="shared" si="10"/>
        <v>0</v>
      </c>
      <c r="Q56" s="321"/>
      <c r="R56" s="321"/>
      <c r="S56" s="329"/>
      <c r="T56" s="314">
        <f t="shared" si="11"/>
        <v>0</v>
      </c>
      <c r="U56" s="336"/>
      <c r="V56" s="337"/>
      <c r="W56" s="334">
        <f t="shared" si="12"/>
        <v>0</v>
      </c>
      <c r="X56" s="335" t="e">
        <f t="shared" si="13"/>
        <v>#DIV/0!</v>
      </c>
      <c r="Y56" s="340"/>
      <c r="Z56" s="4"/>
    </row>
    <row r="57" s="205" customFormat="1" ht="22" customHeight="1" spans="1:26">
      <c r="A57" s="318" t="s">
        <v>144</v>
      </c>
      <c r="B57" s="319"/>
      <c r="C57" s="320"/>
      <c r="D57" s="314">
        <f t="shared" si="8"/>
        <v>0</v>
      </c>
      <c r="E57" s="321"/>
      <c r="F57" s="321"/>
      <c r="G57" s="322"/>
      <c r="H57" s="317">
        <f t="shared" si="14"/>
        <v>0</v>
      </c>
      <c r="I57" s="321"/>
      <c r="J57" s="321"/>
      <c r="K57" s="329"/>
      <c r="L57" s="314">
        <f t="shared" si="9"/>
        <v>0</v>
      </c>
      <c r="M57" s="321"/>
      <c r="N57" s="321"/>
      <c r="O57" s="322"/>
      <c r="P57" s="317">
        <f t="shared" si="10"/>
        <v>0</v>
      </c>
      <c r="Q57" s="321"/>
      <c r="R57" s="321"/>
      <c r="S57" s="329"/>
      <c r="T57" s="314">
        <f t="shared" si="11"/>
        <v>0</v>
      </c>
      <c r="U57" s="336"/>
      <c r="V57" s="337"/>
      <c r="W57" s="334">
        <f t="shared" si="12"/>
        <v>0</v>
      </c>
      <c r="X57" s="335" t="e">
        <f t="shared" si="13"/>
        <v>#DIV/0!</v>
      </c>
      <c r="Y57" s="340"/>
      <c r="Z57" s="4"/>
    </row>
    <row r="58" s="205" customFormat="1" ht="22" customHeight="1" spans="1:26">
      <c r="A58" s="325" t="s">
        <v>180</v>
      </c>
      <c r="B58" s="319"/>
      <c r="C58" s="320"/>
      <c r="D58" s="314">
        <f t="shared" si="8"/>
        <v>0</v>
      </c>
      <c r="E58" s="321"/>
      <c r="F58" s="321"/>
      <c r="G58" s="322"/>
      <c r="H58" s="317">
        <f t="shared" si="14"/>
        <v>0</v>
      </c>
      <c r="I58" s="321"/>
      <c r="J58" s="321"/>
      <c r="K58" s="329"/>
      <c r="L58" s="314">
        <f t="shared" si="9"/>
        <v>0</v>
      </c>
      <c r="M58" s="321"/>
      <c r="N58" s="321"/>
      <c r="O58" s="322"/>
      <c r="P58" s="317">
        <f t="shared" si="10"/>
        <v>0</v>
      </c>
      <c r="Q58" s="321"/>
      <c r="R58" s="321"/>
      <c r="S58" s="329"/>
      <c r="T58" s="314">
        <f t="shared" si="11"/>
        <v>0</v>
      </c>
      <c r="U58" s="336"/>
      <c r="V58" s="337"/>
      <c r="W58" s="334">
        <f t="shared" si="12"/>
        <v>0</v>
      </c>
      <c r="X58" s="335" t="e">
        <f t="shared" si="13"/>
        <v>#DIV/0!</v>
      </c>
      <c r="Y58" s="340"/>
      <c r="Z58" s="4"/>
    </row>
    <row r="59" s="205" customFormat="1" ht="22" customHeight="1" spans="1:26">
      <c r="A59" s="318" t="s">
        <v>181</v>
      </c>
      <c r="B59" s="319"/>
      <c r="C59" s="320"/>
      <c r="D59" s="314">
        <f t="shared" si="8"/>
        <v>0</v>
      </c>
      <c r="E59" s="321"/>
      <c r="F59" s="321"/>
      <c r="G59" s="322"/>
      <c r="H59" s="317">
        <f t="shared" si="14"/>
        <v>0</v>
      </c>
      <c r="I59" s="321"/>
      <c r="J59" s="321"/>
      <c r="K59" s="329"/>
      <c r="L59" s="314">
        <f t="shared" si="9"/>
        <v>0</v>
      </c>
      <c r="M59" s="321"/>
      <c r="N59" s="321"/>
      <c r="O59" s="322"/>
      <c r="P59" s="317">
        <f t="shared" si="10"/>
        <v>0</v>
      </c>
      <c r="Q59" s="321"/>
      <c r="R59" s="321"/>
      <c r="S59" s="329"/>
      <c r="T59" s="314">
        <f t="shared" si="11"/>
        <v>0</v>
      </c>
      <c r="U59" s="336"/>
      <c r="V59" s="337"/>
      <c r="W59" s="334">
        <f t="shared" si="12"/>
        <v>0</v>
      </c>
      <c r="X59" s="335" t="e">
        <f t="shared" si="13"/>
        <v>#DIV/0!</v>
      </c>
      <c r="Y59" s="340"/>
      <c r="Z59" s="4"/>
    </row>
    <row r="60" s="205" customFormat="1" ht="22" customHeight="1" spans="1:26">
      <c r="A60" s="318" t="s">
        <v>182</v>
      </c>
      <c r="B60" s="319"/>
      <c r="C60" s="320"/>
      <c r="D60" s="314">
        <f t="shared" si="8"/>
        <v>0</v>
      </c>
      <c r="E60" s="321"/>
      <c r="F60" s="321"/>
      <c r="G60" s="322"/>
      <c r="H60" s="317">
        <f t="shared" si="14"/>
        <v>0</v>
      </c>
      <c r="I60" s="321"/>
      <c r="J60" s="321"/>
      <c r="K60" s="329"/>
      <c r="L60" s="314">
        <f t="shared" si="9"/>
        <v>0</v>
      </c>
      <c r="M60" s="321"/>
      <c r="N60" s="321"/>
      <c r="O60" s="322"/>
      <c r="P60" s="317">
        <f t="shared" si="10"/>
        <v>0</v>
      </c>
      <c r="Q60" s="321"/>
      <c r="R60" s="321"/>
      <c r="S60" s="329"/>
      <c r="T60" s="314">
        <f t="shared" si="11"/>
        <v>0</v>
      </c>
      <c r="U60" s="336"/>
      <c r="V60" s="337"/>
      <c r="W60" s="334">
        <f t="shared" si="12"/>
        <v>0</v>
      </c>
      <c r="X60" s="335" t="e">
        <f t="shared" si="13"/>
        <v>#DIV/0!</v>
      </c>
      <c r="Y60" s="340"/>
      <c r="Z60" s="4"/>
    </row>
    <row r="61" s="205" customFormat="1" ht="22" customHeight="1" spans="1:26">
      <c r="A61" s="318" t="s">
        <v>183</v>
      </c>
      <c r="B61" s="319"/>
      <c r="C61" s="320"/>
      <c r="D61" s="314">
        <f t="shared" si="8"/>
        <v>0</v>
      </c>
      <c r="E61" s="321"/>
      <c r="F61" s="321"/>
      <c r="G61" s="322"/>
      <c r="H61" s="317">
        <f t="shared" si="14"/>
        <v>0</v>
      </c>
      <c r="I61" s="321"/>
      <c r="J61" s="321"/>
      <c r="K61" s="329"/>
      <c r="L61" s="314">
        <f t="shared" si="9"/>
        <v>0</v>
      </c>
      <c r="M61" s="321"/>
      <c r="N61" s="321"/>
      <c r="O61" s="322"/>
      <c r="P61" s="317">
        <f t="shared" si="10"/>
        <v>0</v>
      </c>
      <c r="Q61" s="321"/>
      <c r="R61" s="321"/>
      <c r="S61" s="329"/>
      <c r="T61" s="314">
        <f t="shared" si="11"/>
        <v>0</v>
      </c>
      <c r="U61" s="336"/>
      <c r="V61" s="337"/>
      <c r="W61" s="334">
        <f t="shared" si="12"/>
        <v>0</v>
      </c>
      <c r="X61" s="335" t="e">
        <f t="shared" si="13"/>
        <v>#DIV/0!</v>
      </c>
      <c r="Y61" s="340"/>
      <c r="Z61" s="4"/>
    </row>
    <row r="62" s="205" customFormat="1" ht="22" customHeight="1" spans="1:26">
      <c r="A62" s="318" t="s">
        <v>184</v>
      </c>
      <c r="B62" s="319"/>
      <c r="C62" s="320"/>
      <c r="D62" s="314">
        <f t="shared" si="8"/>
        <v>0</v>
      </c>
      <c r="E62" s="321"/>
      <c r="F62" s="321"/>
      <c r="G62" s="322"/>
      <c r="H62" s="317">
        <f t="shared" si="14"/>
        <v>0</v>
      </c>
      <c r="I62" s="321"/>
      <c r="J62" s="321"/>
      <c r="K62" s="329"/>
      <c r="L62" s="314">
        <f t="shared" si="9"/>
        <v>0</v>
      </c>
      <c r="M62" s="321"/>
      <c r="N62" s="321"/>
      <c r="O62" s="322"/>
      <c r="P62" s="317">
        <f t="shared" si="10"/>
        <v>0</v>
      </c>
      <c r="Q62" s="321"/>
      <c r="R62" s="321"/>
      <c r="S62" s="329"/>
      <c r="T62" s="314">
        <f t="shared" si="11"/>
        <v>0</v>
      </c>
      <c r="U62" s="336"/>
      <c r="V62" s="337"/>
      <c r="W62" s="334">
        <f t="shared" si="12"/>
        <v>0</v>
      </c>
      <c r="X62" s="335" t="e">
        <f t="shared" si="13"/>
        <v>#DIV/0!</v>
      </c>
      <c r="Y62" s="340"/>
      <c r="Z62" s="4"/>
    </row>
    <row r="63" s="205" customFormat="1" ht="22" customHeight="1" spans="1:26">
      <c r="A63" s="318" t="s">
        <v>185</v>
      </c>
      <c r="B63" s="319"/>
      <c r="C63" s="320"/>
      <c r="D63" s="314">
        <f t="shared" si="8"/>
        <v>0</v>
      </c>
      <c r="E63" s="321"/>
      <c r="F63" s="321"/>
      <c r="G63" s="322"/>
      <c r="H63" s="317">
        <f t="shared" si="14"/>
        <v>0</v>
      </c>
      <c r="I63" s="321"/>
      <c r="J63" s="321"/>
      <c r="K63" s="329"/>
      <c r="L63" s="314">
        <f t="shared" si="9"/>
        <v>0</v>
      </c>
      <c r="M63" s="321"/>
      <c r="N63" s="321"/>
      <c r="O63" s="322"/>
      <c r="P63" s="317">
        <f t="shared" si="10"/>
        <v>0</v>
      </c>
      <c r="Q63" s="321"/>
      <c r="R63" s="321"/>
      <c r="S63" s="329"/>
      <c r="T63" s="314">
        <f t="shared" si="11"/>
        <v>0</v>
      </c>
      <c r="U63" s="336"/>
      <c r="V63" s="337"/>
      <c r="W63" s="334">
        <f t="shared" si="12"/>
        <v>0</v>
      </c>
      <c r="X63" s="335" t="e">
        <f t="shared" si="13"/>
        <v>#DIV/0!</v>
      </c>
      <c r="Y63" s="340"/>
      <c r="Z63" s="4"/>
    </row>
    <row r="64" s="205" customFormat="1" ht="22" customHeight="1" spans="1:26">
      <c r="A64" s="318" t="s">
        <v>144</v>
      </c>
      <c r="B64" s="319"/>
      <c r="C64" s="320"/>
      <c r="D64" s="314">
        <f t="shared" si="8"/>
        <v>0</v>
      </c>
      <c r="E64" s="321"/>
      <c r="F64" s="321"/>
      <c r="G64" s="322"/>
      <c r="H64" s="317">
        <f t="shared" si="14"/>
        <v>0</v>
      </c>
      <c r="I64" s="321"/>
      <c r="J64" s="321"/>
      <c r="K64" s="329"/>
      <c r="L64" s="314">
        <f t="shared" si="9"/>
        <v>0</v>
      </c>
      <c r="M64" s="321"/>
      <c r="N64" s="321"/>
      <c r="O64" s="322"/>
      <c r="P64" s="317">
        <f t="shared" si="10"/>
        <v>0</v>
      </c>
      <c r="Q64" s="321"/>
      <c r="R64" s="321"/>
      <c r="S64" s="329"/>
      <c r="T64" s="314">
        <f t="shared" si="11"/>
        <v>0</v>
      </c>
      <c r="U64" s="336"/>
      <c r="V64" s="337"/>
      <c r="W64" s="334">
        <f t="shared" si="12"/>
        <v>0</v>
      </c>
      <c r="X64" s="335" t="e">
        <f t="shared" si="13"/>
        <v>#DIV/0!</v>
      </c>
      <c r="Y64" s="340"/>
      <c r="Z64" s="4"/>
    </row>
    <row r="65" s="205" customFormat="1" ht="22" customHeight="1" spans="1:26">
      <c r="A65" s="325" t="s">
        <v>186</v>
      </c>
      <c r="B65" s="319"/>
      <c r="C65" s="320"/>
      <c r="D65" s="314">
        <f t="shared" si="8"/>
        <v>0</v>
      </c>
      <c r="E65" s="321"/>
      <c r="F65" s="321"/>
      <c r="G65" s="322"/>
      <c r="H65" s="317">
        <f t="shared" si="14"/>
        <v>0</v>
      </c>
      <c r="I65" s="321"/>
      <c r="J65" s="321"/>
      <c r="K65" s="329"/>
      <c r="L65" s="314">
        <f t="shared" si="9"/>
        <v>0</v>
      </c>
      <c r="M65" s="321"/>
      <c r="N65" s="321"/>
      <c r="O65" s="322"/>
      <c r="P65" s="317">
        <f t="shared" si="10"/>
        <v>0</v>
      </c>
      <c r="Q65" s="321"/>
      <c r="R65" s="321"/>
      <c r="S65" s="329"/>
      <c r="T65" s="314">
        <f t="shared" si="11"/>
        <v>0</v>
      </c>
      <c r="U65" s="336"/>
      <c r="V65" s="337"/>
      <c r="W65" s="334">
        <f t="shared" si="12"/>
        <v>0</v>
      </c>
      <c r="X65" s="335" t="e">
        <f t="shared" si="13"/>
        <v>#DIV/0!</v>
      </c>
      <c r="Y65" s="340"/>
      <c r="Z65" s="4"/>
    </row>
    <row r="66" s="205" customFormat="1" ht="22" customHeight="1" spans="1:26">
      <c r="A66" s="325" t="s">
        <v>187</v>
      </c>
      <c r="B66" s="319"/>
      <c r="C66" s="320"/>
      <c r="D66" s="314">
        <f t="shared" si="8"/>
        <v>0</v>
      </c>
      <c r="E66" s="321"/>
      <c r="F66" s="321"/>
      <c r="G66" s="322"/>
      <c r="H66" s="317">
        <f t="shared" si="14"/>
        <v>0</v>
      </c>
      <c r="I66" s="321"/>
      <c r="J66" s="321"/>
      <c r="K66" s="329"/>
      <c r="L66" s="314">
        <f t="shared" si="9"/>
        <v>0</v>
      </c>
      <c r="M66" s="321"/>
      <c r="N66" s="321"/>
      <c r="O66" s="322"/>
      <c r="P66" s="317">
        <f t="shared" si="10"/>
        <v>0</v>
      </c>
      <c r="Q66" s="321"/>
      <c r="R66" s="321"/>
      <c r="S66" s="329"/>
      <c r="T66" s="314">
        <f t="shared" si="11"/>
        <v>0</v>
      </c>
      <c r="U66" s="336"/>
      <c r="V66" s="337"/>
      <c r="W66" s="334">
        <f t="shared" si="12"/>
        <v>0</v>
      </c>
      <c r="X66" s="335" t="e">
        <f t="shared" si="13"/>
        <v>#DIV/0!</v>
      </c>
      <c r="Y66" s="340"/>
      <c r="Z66" s="4"/>
    </row>
    <row r="67" s="205" customFormat="1" ht="22" customHeight="1" spans="1:26">
      <c r="A67" s="325" t="s">
        <v>188</v>
      </c>
      <c r="B67" s="319"/>
      <c r="C67" s="320"/>
      <c r="D67" s="314">
        <f t="shared" si="8"/>
        <v>0</v>
      </c>
      <c r="E67" s="321"/>
      <c r="F67" s="321"/>
      <c r="G67" s="322"/>
      <c r="H67" s="317">
        <f t="shared" si="14"/>
        <v>0</v>
      </c>
      <c r="I67" s="321"/>
      <c r="J67" s="321"/>
      <c r="K67" s="329"/>
      <c r="L67" s="314">
        <f t="shared" si="9"/>
        <v>0</v>
      </c>
      <c r="M67" s="321"/>
      <c r="N67" s="321"/>
      <c r="O67" s="322"/>
      <c r="P67" s="317">
        <f t="shared" si="10"/>
        <v>0</v>
      </c>
      <c r="Q67" s="321"/>
      <c r="R67" s="321"/>
      <c r="S67" s="329"/>
      <c r="T67" s="314">
        <f t="shared" si="11"/>
        <v>0</v>
      </c>
      <c r="U67" s="336"/>
      <c r="V67" s="337"/>
      <c r="W67" s="334">
        <f t="shared" si="12"/>
        <v>0</v>
      </c>
      <c r="X67" s="335" t="e">
        <f t="shared" si="13"/>
        <v>#DIV/0!</v>
      </c>
      <c r="Y67" s="340"/>
      <c r="Z67" s="4"/>
    </row>
    <row r="68" s="205" customFormat="1" ht="22" customHeight="1" spans="1:26">
      <c r="A68" s="325" t="s">
        <v>189</v>
      </c>
      <c r="B68" s="319"/>
      <c r="C68" s="320"/>
      <c r="D68" s="314">
        <f t="shared" si="8"/>
        <v>0</v>
      </c>
      <c r="E68" s="321"/>
      <c r="F68" s="321"/>
      <c r="G68" s="322"/>
      <c r="H68" s="317">
        <f t="shared" si="14"/>
        <v>0</v>
      </c>
      <c r="I68" s="321"/>
      <c r="J68" s="321"/>
      <c r="K68" s="329"/>
      <c r="L68" s="314">
        <f t="shared" si="9"/>
        <v>0</v>
      </c>
      <c r="M68" s="321"/>
      <c r="N68" s="321"/>
      <c r="O68" s="322"/>
      <c r="P68" s="317">
        <f t="shared" si="10"/>
        <v>0</v>
      </c>
      <c r="Q68" s="321"/>
      <c r="R68" s="321"/>
      <c r="S68" s="329"/>
      <c r="T68" s="314">
        <f t="shared" si="11"/>
        <v>0</v>
      </c>
      <c r="U68" s="336"/>
      <c r="V68" s="337"/>
      <c r="W68" s="334">
        <f t="shared" si="12"/>
        <v>0</v>
      </c>
      <c r="X68" s="335" t="e">
        <f t="shared" si="13"/>
        <v>#DIV/0!</v>
      </c>
      <c r="Y68" s="340"/>
      <c r="Z68" s="4"/>
    </row>
    <row r="69" s="205" customFormat="1" ht="22" customHeight="1" spans="1:26">
      <c r="A69" s="325" t="s">
        <v>190</v>
      </c>
      <c r="B69" s="319"/>
      <c r="C69" s="320"/>
      <c r="D69" s="314">
        <f t="shared" si="8"/>
        <v>0</v>
      </c>
      <c r="E69" s="321"/>
      <c r="F69" s="321"/>
      <c r="G69" s="322"/>
      <c r="H69" s="317">
        <f t="shared" si="14"/>
        <v>0</v>
      </c>
      <c r="I69" s="321"/>
      <c r="J69" s="321"/>
      <c r="K69" s="329"/>
      <c r="L69" s="314">
        <f t="shared" si="9"/>
        <v>0</v>
      </c>
      <c r="M69" s="321"/>
      <c r="N69" s="321"/>
      <c r="O69" s="322"/>
      <c r="P69" s="317">
        <f t="shared" si="10"/>
        <v>0</v>
      </c>
      <c r="Q69" s="321"/>
      <c r="R69" s="321"/>
      <c r="S69" s="329"/>
      <c r="T69" s="314">
        <f t="shared" ref="T69:T92" si="15">D69+H69+L69+P69</f>
        <v>0</v>
      </c>
      <c r="U69" s="336"/>
      <c r="V69" s="337"/>
      <c r="W69" s="334">
        <f t="shared" ref="W69:W94" si="16">T69-V69</f>
        <v>0</v>
      </c>
      <c r="X69" s="335" t="e">
        <f t="shared" ref="X69:X94" si="17">W69/T69</f>
        <v>#DIV/0!</v>
      </c>
      <c r="Y69" s="340"/>
      <c r="Z69" s="4"/>
    </row>
    <row r="70" s="205" customFormat="1" ht="22" customHeight="1" spans="1:26">
      <c r="A70" s="325" t="s">
        <v>191</v>
      </c>
      <c r="B70" s="319"/>
      <c r="C70" s="320"/>
      <c r="D70" s="314">
        <f t="shared" si="8"/>
        <v>0</v>
      </c>
      <c r="E70" s="321"/>
      <c r="F70" s="321"/>
      <c r="G70" s="322"/>
      <c r="H70" s="317">
        <f t="shared" si="14"/>
        <v>0</v>
      </c>
      <c r="I70" s="321"/>
      <c r="J70" s="321"/>
      <c r="K70" s="329"/>
      <c r="L70" s="314">
        <f t="shared" si="9"/>
        <v>0</v>
      </c>
      <c r="M70" s="321"/>
      <c r="N70" s="321"/>
      <c r="O70" s="322"/>
      <c r="P70" s="317">
        <f t="shared" si="10"/>
        <v>0</v>
      </c>
      <c r="Q70" s="321"/>
      <c r="R70" s="321"/>
      <c r="S70" s="329"/>
      <c r="T70" s="314">
        <f t="shared" si="15"/>
        <v>0</v>
      </c>
      <c r="U70" s="336"/>
      <c r="V70" s="337"/>
      <c r="W70" s="334">
        <f t="shared" si="16"/>
        <v>0</v>
      </c>
      <c r="X70" s="335" t="e">
        <f t="shared" si="17"/>
        <v>#DIV/0!</v>
      </c>
      <c r="Y70" s="340"/>
      <c r="Z70" s="4"/>
    </row>
    <row r="71" s="205" customFormat="1" ht="22" customHeight="1" spans="1:26">
      <c r="A71" s="325" t="s">
        <v>192</v>
      </c>
      <c r="B71" s="319"/>
      <c r="C71" s="320"/>
      <c r="D71" s="314">
        <f t="shared" si="8"/>
        <v>0</v>
      </c>
      <c r="E71" s="321"/>
      <c r="F71" s="321"/>
      <c r="G71" s="322"/>
      <c r="H71" s="317">
        <f t="shared" si="14"/>
        <v>0</v>
      </c>
      <c r="I71" s="321"/>
      <c r="J71" s="321"/>
      <c r="K71" s="329"/>
      <c r="L71" s="314">
        <f t="shared" si="9"/>
        <v>0</v>
      </c>
      <c r="M71" s="321"/>
      <c r="N71" s="321"/>
      <c r="O71" s="322"/>
      <c r="P71" s="317">
        <f t="shared" si="10"/>
        <v>0</v>
      </c>
      <c r="Q71" s="321"/>
      <c r="R71" s="321"/>
      <c r="S71" s="329"/>
      <c r="T71" s="314">
        <f t="shared" si="15"/>
        <v>0</v>
      </c>
      <c r="U71" s="336"/>
      <c r="V71" s="337"/>
      <c r="W71" s="334">
        <f t="shared" si="16"/>
        <v>0</v>
      </c>
      <c r="X71" s="335" t="e">
        <f t="shared" si="17"/>
        <v>#DIV/0!</v>
      </c>
      <c r="Y71" s="340"/>
      <c r="Z71" s="4"/>
    </row>
    <row r="72" s="205" customFormat="1" ht="22" customHeight="1" spans="1:26">
      <c r="A72" s="325" t="s">
        <v>193</v>
      </c>
      <c r="B72" s="319"/>
      <c r="C72" s="320"/>
      <c r="D72" s="314">
        <f t="shared" si="8"/>
        <v>0</v>
      </c>
      <c r="E72" s="321"/>
      <c r="F72" s="321"/>
      <c r="G72" s="322"/>
      <c r="H72" s="317">
        <f t="shared" si="14"/>
        <v>0</v>
      </c>
      <c r="I72" s="321"/>
      <c r="J72" s="321"/>
      <c r="K72" s="329"/>
      <c r="L72" s="314">
        <f t="shared" si="9"/>
        <v>0</v>
      </c>
      <c r="M72" s="321"/>
      <c r="N72" s="321"/>
      <c r="O72" s="322"/>
      <c r="P72" s="317">
        <f t="shared" si="10"/>
        <v>0</v>
      </c>
      <c r="Q72" s="321"/>
      <c r="R72" s="321"/>
      <c r="S72" s="329"/>
      <c r="T72" s="314">
        <f t="shared" si="15"/>
        <v>0</v>
      </c>
      <c r="U72" s="336"/>
      <c r="V72" s="337"/>
      <c r="W72" s="334">
        <f t="shared" si="16"/>
        <v>0</v>
      </c>
      <c r="X72" s="335" t="e">
        <f t="shared" si="17"/>
        <v>#DIV/0!</v>
      </c>
      <c r="Y72" s="340"/>
      <c r="Z72" s="4"/>
    </row>
    <row r="73" s="205" customFormat="1" ht="22" customHeight="1" spans="1:26">
      <c r="A73" s="325" t="s">
        <v>144</v>
      </c>
      <c r="B73" s="341"/>
      <c r="C73" s="320"/>
      <c r="D73" s="314">
        <f t="shared" si="8"/>
        <v>0</v>
      </c>
      <c r="E73" s="321"/>
      <c r="F73" s="321"/>
      <c r="G73" s="322"/>
      <c r="H73" s="317">
        <f t="shared" si="14"/>
        <v>0</v>
      </c>
      <c r="I73" s="321"/>
      <c r="J73" s="321"/>
      <c r="K73" s="329"/>
      <c r="L73" s="314">
        <f t="shared" si="9"/>
        <v>0</v>
      </c>
      <c r="M73" s="321"/>
      <c r="N73" s="321"/>
      <c r="O73" s="322"/>
      <c r="P73" s="317">
        <f t="shared" si="10"/>
        <v>0</v>
      </c>
      <c r="Q73" s="321"/>
      <c r="R73" s="321"/>
      <c r="S73" s="329"/>
      <c r="T73" s="314">
        <f t="shared" si="15"/>
        <v>0</v>
      </c>
      <c r="U73" s="336"/>
      <c r="V73" s="399"/>
      <c r="W73" s="334">
        <f t="shared" si="16"/>
        <v>0</v>
      </c>
      <c r="X73" s="335" t="e">
        <f t="shared" si="17"/>
        <v>#DIV/0!</v>
      </c>
      <c r="Y73" s="340"/>
      <c r="Z73" s="4"/>
    </row>
    <row r="74" s="205" customFormat="1" ht="22" customHeight="1" spans="1:26">
      <c r="A74" s="325" t="s">
        <v>194</v>
      </c>
      <c r="B74" s="342"/>
      <c r="C74" s="320"/>
      <c r="D74" s="314">
        <f t="shared" si="8"/>
        <v>0</v>
      </c>
      <c r="E74" s="321"/>
      <c r="F74" s="321"/>
      <c r="G74" s="322"/>
      <c r="H74" s="317">
        <f t="shared" si="14"/>
        <v>0</v>
      </c>
      <c r="I74" s="321"/>
      <c r="J74" s="321"/>
      <c r="K74" s="329"/>
      <c r="L74" s="314">
        <f t="shared" si="9"/>
        <v>0</v>
      </c>
      <c r="M74" s="321"/>
      <c r="N74" s="321"/>
      <c r="O74" s="322"/>
      <c r="P74" s="317">
        <f t="shared" si="10"/>
        <v>0</v>
      </c>
      <c r="Q74" s="321"/>
      <c r="R74" s="321"/>
      <c r="S74" s="329"/>
      <c r="T74" s="314">
        <f t="shared" si="15"/>
        <v>0</v>
      </c>
      <c r="U74" s="336"/>
      <c r="V74" s="337"/>
      <c r="W74" s="334">
        <f t="shared" si="16"/>
        <v>0</v>
      </c>
      <c r="X74" s="335" t="e">
        <f t="shared" si="17"/>
        <v>#DIV/0!</v>
      </c>
      <c r="Y74" s="340"/>
      <c r="Z74" s="4"/>
    </row>
    <row r="75" s="205" customFormat="1" ht="22" customHeight="1" spans="1:26">
      <c r="A75" s="325" t="s">
        <v>195</v>
      </c>
      <c r="B75" s="343"/>
      <c r="C75" s="320"/>
      <c r="D75" s="314">
        <f t="shared" si="8"/>
        <v>0</v>
      </c>
      <c r="E75" s="321"/>
      <c r="F75" s="321"/>
      <c r="G75" s="322"/>
      <c r="H75" s="317">
        <f t="shared" si="14"/>
        <v>0</v>
      </c>
      <c r="I75" s="321"/>
      <c r="J75" s="321"/>
      <c r="K75" s="329"/>
      <c r="L75" s="314">
        <f t="shared" si="9"/>
        <v>0</v>
      </c>
      <c r="M75" s="321"/>
      <c r="N75" s="321"/>
      <c r="O75" s="322"/>
      <c r="P75" s="317">
        <f t="shared" si="10"/>
        <v>0</v>
      </c>
      <c r="Q75" s="321"/>
      <c r="R75" s="321"/>
      <c r="S75" s="329"/>
      <c r="T75" s="314">
        <f t="shared" si="15"/>
        <v>0</v>
      </c>
      <c r="U75" s="336"/>
      <c r="V75" s="337"/>
      <c r="W75" s="334">
        <f t="shared" si="16"/>
        <v>0</v>
      </c>
      <c r="X75" s="335" t="e">
        <f t="shared" si="17"/>
        <v>#DIV/0!</v>
      </c>
      <c r="Y75" s="340"/>
      <c r="Z75" s="4"/>
    </row>
    <row r="76" s="205" customFormat="1" ht="22" customHeight="1" spans="1:26">
      <c r="A76" s="325" t="s">
        <v>196</v>
      </c>
      <c r="B76" s="342"/>
      <c r="C76" s="320"/>
      <c r="D76" s="314">
        <f t="shared" si="8"/>
        <v>0</v>
      </c>
      <c r="E76" s="321"/>
      <c r="F76" s="321"/>
      <c r="G76" s="322"/>
      <c r="H76" s="317">
        <f t="shared" si="14"/>
        <v>0</v>
      </c>
      <c r="I76" s="321"/>
      <c r="J76" s="321"/>
      <c r="K76" s="329"/>
      <c r="L76" s="314">
        <f t="shared" si="9"/>
        <v>0</v>
      </c>
      <c r="M76" s="321"/>
      <c r="N76" s="321"/>
      <c r="O76" s="322"/>
      <c r="P76" s="317">
        <f t="shared" si="10"/>
        <v>0</v>
      </c>
      <c r="Q76" s="321"/>
      <c r="R76" s="321"/>
      <c r="S76" s="329"/>
      <c r="T76" s="314">
        <f t="shared" si="15"/>
        <v>0</v>
      </c>
      <c r="U76" s="336"/>
      <c r="V76" s="337"/>
      <c r="W76" s="334">
        <f t="shared" si="16"/>
        <v>0</v>
      </c>
      <c r="X76" s="335" t="e">
        <f t="shared" si="17"/>
        <v>#DIV/0!</v>
      </c>
      <c r="Y76" s="340"/>
      <c r="Z76" s="4"/>
    </row>
    <row r="77" s="205" customFormat="1" ht="22" customHeight="1" spans="1:26">
      <c r="A77" s="344" t="s">
        <v>197</v>
      </c>
      <c r="B77" s="345"/>
      <c r="C77" s="346"/>
      <c r="D77" s="314">
        <f t="shared" si="8"/>
        <v>0</v>
      </c>
      <c r="E77" s="347"/>
      <c r="F77" s="347"/>
      <c r="G77" s="348"/>
      <c r="H77" s="349">
        <f t="shared" si="14"/>
        <v>0</v>
      </c>
      <c r="I77" s="347"/>
      <c r="J77" s="347"/>
      <c r="K77" s="395"/>
      <c r="L77" s="314">
        <f t="shared" si="9"/>
        <v>0</v>
      </c>
      <c r="M77" s="347"/>
      <c r="N77" s="347"/>
      <c r="O77" s="348"/>
      <c r="P77" s="317">
        <f t="shared" si="10"/>
        <v>0</v>
      </c>
      <c r="Q77" s="347"/>
      <c r="R77" s="347"/>
      <c r="S77" s="395"/>
      <c r="T77" s="314">
        <f t="shared" si="15"/>
        <v>0</v>
      </c>
      <c r="U77" s="400"/>
      <c r="V77" s="401"/>
      <c r="W77" s="334">
        <f t="shared" si="16"/>
        <v>0</v>
      </c>
      <c r="X77" s="335" t="e">
        <f t="shared" si="17"/>
        <v>#DIV/0!</v>
      </c>
      <c r="Y77" s="417"/>
      <c r="Z77" s="4"/>
    </row>
    <row r="78" s="205" customFormat="1" ht="22" customHeight="1" spans="1:26">
      <c r="A78" s="350" t="s">
        <v>198</v>
      </c>
      <c r="B78" s="351"/>
      <c r="C78" s="352"/>
      <c r="D78" s="353">
        <f t="shared" si="8"/>
        <v>0</v>
      </c>
      <c r="E78" s="354"/>
      <c r="F78" s="354"/>
      <c r="G78" s="355"/>
      <c r="H78" s="356">
        <f t="shared" si="14"/>
        <v>0</v>
      </c>
      <c r="I78" s="354"/>
      <c r="J78" s="354"/>
      <c r="K78" s="396"/>
      <c r="L78" s="353">
        <f t="shared" si="9"/>
        <v>0</v>
      </c>
      <c r="M78" s="354"/>
      <c r="N78" s="354"/>
      <c r="O78" s="355"/>
      <c r="P78" s="397">
        <f t="shared" si="10"/>
        <v>0</v>
      </c>
      <c r="Q78" s="354"/>
      <c r="R78" s="354"/>
      <c r="S78" s="396"/>
      <c r="T78" s="314">
        <f t="shared" si="15"/>
        <v>0</v>
      </c>
      <c r="U78" s="402"/>
      <c r="V78" s="403"/>
      <c r="W78" s="334">
        <f t="shared" si="16"/>
        <v>0</v>
      </c>
      <c r="X78" s="335" t="e">
        <f t="shared" si="17"/>
        <v>#DIV/0!</v>
      </c>
      <c r="Y78" s="418"/>
      <c r="Z78" s="4"/>
    </row>
    <row r="79" s="205" customFormat="1" ht="22" customHeight="1" spans="1:26">
      <c r="A79" s="325" t="s">
        <v>199</v>
      </c>
      <c r="B79" s="342"/>
      <c r="C79" s="320"/>
      <c r="D79" s="357">
        <f t="shared" ref="D79:D91" si="18">SUM(E79:G79)</f>
        <v>0</v>
      </c>
      <c r="E79" s="321"/>
      <c r="F79" s="321"/>
      <c r="G79" s="322"/>
      <c r="H79" s="358">
        <f t="shared" ref="H79:H91" si="19">SUM(I79:K79)</f>
        <v>0</v>
      </c>
      <c r="I79" s="321"/>
      <c r="J79" s="321"/>
      <c r="K79" s="329"/>
      <c r="L79" s="357">
        <f t="shared" si="9"/>
        <v>0</v>
      </c>
      <c r="M79" s="321"/>
      <c r="N79" s="321"/>
      <c r="O79" s="322"/>
      <c r="P79" s="358">
        <f t="shared" si="10"/>
        <v>0</v>
      </c>
      <c r="Q79" s="321"/>
      <c r="R79" s="321"/>
      <c r="S79" s="329"/>
      <c r="T79" s="314">
        <f t="shared" si="15"/>
        <v>0</v>
      </c>
      <c r="U79" s="336"/>
      <c r="V79" s="337"/>
      <c r="W79" s="334">
        <f t="shared" si="16"/>
        <v>0</v>
      </c>
      <c r="X79" s="335" t="e">
        <f t="shared" si="17"/>
        <v>#DIV/0!</v>
      </c>
      <c r="Y79" s="340"/>
      <c r="Z79" s="4"/>
    </row>
    <row r="80" s="205" customFormat="1" ht="22" customHeight="1" spans="1:26">
      <c r="A80" s="325" t="s">
        <v>200</v>
      </c>
      <c r="B80" s="342"/>
      <c r="C80" s="320"/>
      <c r="D80" s="359">
        <f t="shared" si="18"/>
        <v>0</v>
      </c>
      <c r="E80" s="321"/>
      <c r="F80" s="321"/>
      <c r="G80" s="322"/>
      <c r="H80" s="358">
        <f t="shared" si="19"/>
        <v>0</v>
      </c>
      <c r="I80" s="321"/>
      <c r="J80" s="321"/>
      <c r="K80" s="329"/>
      <c r="L80" s="357">
        <f t="shared" ref="L80:L91" si="20">SUM(M80:O80)</f>
        <v>0</v>
      </c>
      <c r="M80" s="321"/>
      <c r="N80" s="321"/>
      <c r="O80" s="322"/>
      <c r="P80" s="358">
        <f t="shared" ref="P80:P91" si="21">SUM(Q80:S80)</f>
        <v>0</v>
      </c>
      <c r="Q80" s="321"/>
      <c r="R80" s="321"/>
      <c r="S80" s="329"/>
      <c r="T80" s="314">
        <f t="shared" si="15"/>
        <v>0</v>
      </c>
      <c r="U80" s="336"/>
      <c r="V80" s="337"/>
      <c r="W80" s="334">
        <f t="shared" si="16"/>
        <v>0</v>
      </c>
      <c r="X80" s="335" t="e">
        <f t="shared" si="17"/>
        <v>#DIV/0!</v>
      </c>
      <c r="Y80" s="340"/>
      <c r="Z80" s="4"/>
    </row>
    <row r="81" s="205" customFormat="1" ht="22" customHeight="1" spans="1:26">
      <c r="A81" s="325" t="s">
        <v>201</v>
      </c>
      <c r="B81" s="342"/>
      <c r="C81" s="320"/>
      <c r="D81" s="359">
        <f t="shared" si="18"/>
        <v>0</v>
      </c>
      <c r="E81" s="321"/>
      <c r="F81" s="321"/>
      <c r="G81" s="322"/>
      <c r="H81" s="356">
        <f t="shared" si="19"/>
        <v>0</v>
      </c>
      <c r="I81" s="321"/>
      <c r="J81" s="321"/>
      <c r="K81" s="329"/>
      <c r="L81" s="357">
        <f t="shared" si="20"/>
        <v>0</v>
      </c>
      <c r="M81" s="321"/>
      <c r="N81" s="321"/>
      <c r="O81" s="322"/>
      <c r="P81" s="358">
        <f t="shared" si="21"/>
        <v>0</v>
      </c>
      <c r="Q81" s="321"/>
      <c r="R81" s="321"/>
      <c r="S81" s="329"/>
      <c r="T81" s="314">
        <f t="shared" si="15"/>
        <v>0</v>
      </c>
      <c r="U81" s="336"/>
      <c r="V81" s="337"/>
      <c r="W81" s="334">
        <f t="shared" si="16"/>
        <v>0</v>
      </c>
      <c r="X81" s="335" t="e">
        <f t="shared" si="17"/>
        <v>#DIV/0!</v>
      </c>
      <c r="Y81" s="340"/>
      <c r="Z81" s="4"/>
    </row>
    <row r="82" s="205" customFormat="1" ht="22" customHeight="1" spans="1:26">
      <c r="A82" s="325" t="s">
        <v>202</v>
      </c>
      <c r="B82" s="342"/>
      <c r="C82" s="320"/>
      <c r="D82" s="357">
        <f t="shared" si="18"/>
        <v>0</v>
      </c>
      <c r="E82" s="321"/>
      <c r="F82" s="321"/>
      <c r="G82" s="322"/>
      <c r="H82" s="356">
        <f t="shared" si="19"/>
        <v>0</v>
      </c>
      <c r="I82" s="321"/>
      <c r="J82" s="321"/>
      <c r="K82" s="329"/>
      <c r="L82" s="357">
        <f t="shared" si="20"/>
        <v>0</v>
      </c>
      <c r="M82" s="321"/>
      <c r="N82" s="321"/>
      <c r="O82" s="322"/>
      <c r="P82" s="358">
        <f t="shared" si="21"/>
        <v>0</v>
      </c>
      <c r="Q82" s="321"/>
      <c r="R82" s="321"/>
      <c r="S82" s="329"/>
      <c r="T82" s="314">
        <f t="shared" si="15"/>
        <v>0</v>
      </c>
      <c r="U82" s="336"/>
      <c r="V82" s="337"/>
      <c r="W82" s="334">
        <f t="shared" si="16"/>
        <v>0</v>
      </c>
      <c r="X82" s="335" t="e">
        <f t="shared" si="17"/>
        <v>#DIV/0!</v>
      </c>
      <c r="Y82" s="340"/>
      <c r="Z82" s="4"/>
    </row>
    <row r="83" s="205" customFormat="1" ht="22" customHeight="1" spans="1:26">
      <c r="A83" s="325" t="s">
        <v>203</v>
      </c>
      <c r="B83" s="342"/>
      <c r="C83" s="320"/>
      <c r="D83" s="357">
        <f t="shared" si="18"/>
        <v>0</v>
      </c>
      <c r="E83" s="321"/>
      <c r="F83" s="321"/>
      <c r="G83" s="322"/>
      <c r="H83" s="358">
        <f t="shared" si="19"/>
        <v>0</v>
      </c>
      <c r="I83" s="321"/>
      <c r="J83" s="321"/>
      <c r="K83" s="329"/>
      <c r="L83" s="357">
        <f t="shared" si="20"/>
        <v>0</v>
      </c>
      <c r="M83" s="321"/>
      <c r="N83" s="321"/>
      <c r="O83" s="322"/>
      <c r="P83" s="358">
        <f t="shared" si="21"/>
        <v>0</v>
      </c>
      <c r="Q83" s="321"/>
      <c r="R83" s="321"/>
      <c r="S83" s="329"/>
      <c r="T83" s="314">
        <f t="shared" si="15"/>
        <v>0</v>
      </c>
      <c r="U83" s="336"/>
      <c r="V83" s="337"/>
      <c r="W83" s="334">
        <f t="shared" si="16"/>
        <v>0</v>
      </c>
      <c r="X83" s="335" t="e">
        <f t="shared" si="17"/>
        <v>#DIV/0!</v>
      </c>
      <c r="Y83" s="340"/>
      <c r="Z83" s="4"/>
    </row>
    <row r="84" s="205" customFormat="1" ht="22" customHeight="1" spans="1:26">
      <c r="A84" s="318" t="s">
        <v>204</v>
      </c>
      <c r="B84" s="342"/>
      <c r="C84" s="320"/>
      <c r="D84" s="357">
        <f t="shared" si="18"/>
        <v>0</v>
      </c>
      <c r="E84" s="321"/>
      <c r="F84" s="321"/>
      <c r="G84" s="322"/>
      <c r="H84" s="356">
        <f t="shared" si="19"/>
        <v>0</v>
      </c>
      <c r="I84" s="321"/>
      <c r="J84" s="321"/>
      <c r="K84" s="329"/>
      <c r="L84" s="357">
        <f t="shared" si="20"/>
        <v>0</v>
      </c>
      <c r="M84" s="321"/>
      <c r="N84" s="321"/>
      <c r="O84" s="322"/>
      <c r="P84" s="358">
        <f t="shared" si="21"/>
        <v>0</v>
      </c>
      <c r="Q84" s="321"/>
      <c r="R84" s="321"/>
      <c r="S84" s="329"/>
      <c r="T84" s="314">
        <f t="shared" si="15"/>
        <v>0</v>
      </c>
      <c r="U84" s="336"/>
      <c r="V84" s="337"/>
      <c r="W84" s="334">
        <f t="shared" si="16"/>
        <v>0</v>
      </c>
      <c r="X84" s="335" t="e">
        <f t="shared" si="17"/>
        <v>#DIV/0!</v>
      </c>
      <c r="Y84" s="340"/>
      <c r="Z84" s="4"/>
    </row>
    <row r="85" s="205" customFormat="1" ht="22" customHeight="1" spans="1:26">
      <c r="A85" s="318" t="s">
        <v>205</v>
      </c>
      <c r="B85" s="342"/>
      <c r="C85" s="320"/>
      <c r="D85" s="357">
        <f t="shared" si="18"/>
        <v>0</v>
      </c>
      <c r="E85" s="321"/>
      <c r="F85" s="321"/>
      <c r="G85" s="322"/>
      <c r="H85" s="356">
        <f t="shared" si="19"/>
        <v>0</v>
      </c>
      <c r="I85" s="321"/>
      <c r="J85" s="321"/>
      <c r="K85" s="329"/>
      <c r="L85" s="357">
        <f t="shared" si="20"/>
        <v>0</v>
      </c>
      <c r="M85" s="321"/>
      <c r="N85" s="321"/>
      <c r="O85" s="322"/>
      <c r="P85" s="358">
        <f t="shared" si="21"/>
        <v>0</v>
      </c>
      <c r="Q85" s="321"/>
      <c r="R85" s="321"/>
      <c r="S85" s="329"/>
      <c r="T85" s="314">
        <f t="shared" si="15"/>
        <v>0</v>
      </c>
      <c r="U85" s="336"/>
      <c r="V85" s="337"/>
      <c r="W85" s="334">
        <f t="shared" si="16"/>
        <v>0</v>
      </c>
      <c r="X85" s="335" t="e">
        <f t="shared" si="17"/>
        <v>#DIV/0!</v>
      </c>
      <c r="Y85" s="340"/>
      <c r="Z85" s="4"/>
    </row>
    <row r="86" s="205" customFormat="1" ht="22" customHeight="1" spans="1:26">
      <c r="A86" s="318" t="s">
        <v>206</v>
      </c>
      <c r="B86" s="319"/>
      <c r="C86" s="320"/>
      <c r="D86" s="357">
        <f t="shared" si="18"/>
        <v>0</v>
      </c>
      <c r="E86" s="321"/>
      <c r="F86" s="321"/>
      <c r="G86" s="322"/>
      <c r="H86" s="356">
        <f t="shared" si="19"/>
        <v>0</v>
      </c>
      <c r="I86" s="321"/>
      <c r="J86" s="321"/>
      <c r="K86" s="329"/>
      <c r="L86" s="357">
        <f t="shared" si="20"/>
        <v>0</v>
      </c>
      <c r="M86" s="321"/>
      <c r="N86" s="321"/>
      <c r="O86" s="322"/>
      <c r="P86" s="358">
        <f t="shared" si="21"/>
        <v>0</v>
      </c>
      <c r="Q86" s="321"/>
      <c r="R86" s="321"/>
      <c r="S86" s="329"/>
      <c r="T86" s="314">
        <f t="shared" si="15"/>
        <v>0</v>
      </c>
      <c r="U86" s="336"/>
      <c r="V86" s="337"/>
      <c r="W86" s="334">
        <f t="shared" si="16"/>
        <v>0</v>
      </c>
      <c r="X86" s="335" t="e">
        <f t="shared" si="17"/>
        <v>#DIV/0!</v>
      </c>
      <c r="Y86" s="340"/>
      <c r="Z86" s="4"/>
    </row>
    <row r="87" s="205" customFormat="1" ht="22" customHeight="1" spans="1:26">
      <c r="A87" s="318" t="s">
        <v>207</v>
      </c>
      <c r="B87" s="342"/>
      <c r="C87" s="320"/>
      <c r="D87" s="357">
        <f t="shared" si="18"/>
        <v>0</v>
      </c>
      <c r="E87" s="321"/>
      <c r="F87" s="321"/>
      <c r="G87" s="322"/>
      <c r="H87" s="358">
        <f t="shared" si="19"/>
        <v>0</v>
      </c>
      <c r="I87" s="321"/>
      <c r="J87" s="321"/>
      <c r="K87" s="329"/>
      <c r="L87" s="357">
        <f t="shared" si="20"/>
        <v>0</v>
      </c>
      <c r="M87" s="321"/>
      <c r="N87" s="321"/>
      <c r="O87" s="322"/>
      <c r="P87" s="358">
        <f t="shared" si="21"/>
        <v>0</v>
      </c>
      <c r="Q87" s="321"/>
      <c r="R87" s="321"/>
      <c r="S87" s="329"/>
      <c r="T87" s="314">
        <f t="shared" si="15"/>
        <v>0</v>
      </c>
      <c r="U87" s="336"/>
      <c r="V87" s="337"/>
      <c r="W87" s="334">
        <f t="shared" si="16"/>
        <v>0</v>
      </c>
      <c r="X87" s="335" t="e">
        <f t="shared" si="17"/>
        <v>#DIV/0!</v>
      </c>
      <c r="Y87" s="340"/>
      <c r="Z87" s="4"/>
    </row>
    <row r="88" s="205" customFormat="1" ht="22" customHeight="1" spans="1:26">
      <c r="A88" s="318" t="s">
        <v>208</v>
      </c>
      <c r="B88" s="319"/>
      <c r="C88" s="320"/>
      <c r="D88" s="357">
        <f t="shared" si="18"/>
        <v>0</v>
      </c>
      <c r="E88" s="321"/>
      <c r="F88" s="321"/>
      <c r="G88" s="322"/>
      <c r="H88" s="356">
        <f t="shared" si="19"/>
        <v>0</v>
      </c>
      <c r="I88" s="321"/>
      <c r="J88" s="321"/>
      <c r="K88" s="329"/>
      <c r="L88" s="357">
        <f t="shared" si="20"/>
        <v>0</v>
      </c>
      <c r="M88" s="321"/>
      <c r="N88" s="321"/>
      <c r="O88" s="322"/>
      <c r="P88" s="358">
        <f t="shared" si="21"/>
        <v>0</v>
      </c>
      <c r="Q88" s="321"/>
      <c r="R88" s="321"/>
      <c r="S88" s="329"/>
      <c r="T88" s="314">
        <f t="shared" si="15"/>
        <v>0</v>
      </c>
      <c r="U88" s="336"/>
      <c r="V88" s="337"/>
      <c r="W88" s="334">
        <f t="shared" si="16"/>
        <v>0</v>
      </c>
      <c r="X88" s="335" t="e">
        <f t="shared" si="17"/>
        <v>#DIV/0!</v>
      </c>
      <c r="Y88" s="340"/>
      <c r="Z88" s="4"/>
    </row>
    <row r="89" s="205" customFormat="1" ht="22" customHeight="1" spans="1:26">
      <c r="A89" s="318" t="s">
        <v>209</v>
      </c>
      <c r="B89" s="343"/>
      <c r="C89" s="320"/>
      <c r="D89" s="357">
        <f t="shared" si="18"/>
        <v>0</v>
      </c>
      <c r="E89" s="321"/>
      <c r="F89" s="321"/>
      <c r="G89" s="322"/>
      <c r="H89" s="356">
        <f t="shared" si="19"/>
        <v>0</v>
      </c>
      <c r="I89" s="321"/>
      <c r="J89" s="321"/>
      <c r="K89" s="329"/>
      <c r="L89" s="357">
        <f t="shared" si="20"/>
        <v>0</v>
      </c>
      <c r="M89" s="321"/>
      <c r="N89" s="321"/>
      <c r="O89" s="322"/>
      <c r="P89" s="358">
        <f t="shared" si="21"/>
        <v>0</v>
      </c>
      <c r="Q89" s="321"/>
      <c r="R89" s="321"/>
      <c r="S89" s="329"/>
      <c r="T89" s="314">
        <f t="shared" si="15"/>
        <v>0</v>
      </c>
      <c r="U89" s="336"/>
      <c r="V89" s="337"/>
      <c r="W89" s="334">
        <f t="shared" si="16"/>
        <v>0</v>
      </c>
      <c r="X89" s="335" t="e">
        <f t="shared" si="17"/>
        <v>#DIV/0!</v>
      </c>
      <c r="Y89" s="340"/>
      <c r="Z89" s="4"/>
    </row>
    <row r="90" s="205" customFormat="1" ht="22" customHeight="1" spans="1:26">
      <c r="A90" s="318" t="s">
        <v>210</v>
      </c>
      <c r="B90" s="360"/>
      <c r="C90" s="320"/>
      <c r="D90" s="357">
        <f t="shared" si="18"/>
        <v>0</v>
      </c>
      <c r="E90" s="321"/>
      <c r="F90" s="321"/>
      <c r="G90" s="322"/>
      <c r="H90" s="358">
        <f t="shared" si="19"/>
        <v>0</v>
      </c>
      <c r="I90" s="321"/>
      <c r="J90" s="321"/>
      <c r="K90" s="329"/>
      <c r="L90" s="357">
        <f t="shared" si="20"/>
        <v>0</v>
      </c>
      <c r="M90" s="321"/>
      <c r="N90" s="321"/>
      <c r="O90" s="322"/>
      <c r="P90" s="358">
        <f t="shared" si="21"/>
        <v>0</v>
      </c>
      <c r="Q90" s="321"/>
      <c r="R90" s="321"/>
      <c r="S90" s="329"/>
      <c r="T90" s="314">
        <f t="shared" si="15"/>
        <v>0</v>
      </c>
      <c r="U90" s="336"/>
      <c r="V90" s="399"/>
      <c r="W90" s="334">
        <f t="shared" si="16"/>
        <v>0</v>
      </c>
      <c r="X90" s="335" t="e">
        <f t="shared" si="17"/>
        <v>#DIV/0!</v>
      </c>
      <c r="Y90" s="340"/>
      <c r="Z90" s="4"/>
    </row>
    <row r="91" s="205" customFormat="1" ht="22" customHeight="1" spans="1:26">
      <c r="A91" s="318" t="s">
        <v>144</v>
      </c>
      <c r="B91" s="343"/>
      <c r="C91" s="361"/>
      <c r="D91" s="357">
        <f t="shared" si="18"/>
        <v>0</v>
      </c>
      <c r="E91" s="321"/>
      <c r="F91" s="321"/>
      <c r="G91" s="322"/>
      <c r="H91" s="358">
        <f t="shared" si="19"/>
        <v>0</v>
      </c>
      <c r="I91" s="321"/>
      <c r="J91" s="321"/>
      <c r="K91" s="329"/>
      <c r="L91" s="357">
        <f t="shared" si="20"/>
        <v>0</v>
      </c>
      <c r="M91" s="321"/>
      <c r="N91" s="321"/>
      <c r="O91" s="322"/>
      <c r="P91" s="358">
        <f t="shared" si="21"/>
        <v>0</v>
      </c>
      <c r="Q91" s="321"/>
      <c r="R91" s="321"/>
      <c r="S91" s="329"/>
      <c r="T91" s="314">
        <f t="shared" si="15"/>
        <v>0</v>
      </c>
      <c r="U91" s="336"/>
      <c r="V91" s="337"/>
      <c r="W91" s="334">
        <f t="shared" si="16"/>
        <v>0</v>
      </c>
      <c r="X91" s="335" t="e">
        <f t="shared" si="17"/>
        <v>#DIV/0!</v>
      </c>
      <c r="Y91" s="340"/>
      <c r="Z91" s="4"/>
    </row>
    <row r="92" s="205" customFormat="1" ht="22" customHeight="1" spans="1:26">
      <c r="A92" s="362" t="s">
        <v>109</v>
      </c>
      <c r="B92" s="363"/>
      <c r="C92" s="364">
        <f>SUM(C4:C91)</f>
        <v>0</v>
      </c>
      <c r="D92" s="365">
        <f>SUM(D4:D91)</f>
        <v>0</v>
      </c>
      <c r="E92" s="366">
        <f>SUM(E4:E91)</f>
        <v>0</v>
      </c>
      <c r="F92" s="366">
        <f>SUM(F4:F91)</f>
        <v>0</v>
      </c>
      <c r="G92" s="367">
        <f>SUM(G4:G91)</f>
        <v>0</v>
      </c>
      <c r="H92" s="368">
        <f t="shared" ref="H92:V92" si="22">SUM(H4:H91)</f>
        <v>0</v>
      </c>
      <c r="I92" s="366">
        <f t="shared" si="22"/>
        <v>0</v>
      </c>
      <c r="J92" s="366">
        <f t="shared" si="22"/>
        <v>0</v>
      </c>
      <c r="K92" s="366">
        <f t="shared" si="22"/>
        <v>0</v>
      </c>
      <c r="L92" s="366">
        <f t="shared" si="22"/>
        <v>0</v>
      </c>
      <c r="M92" s="366">
        <f t="shared" si="22"/>
        <v>0</v>
      </c>
      <c r="N92" s="366">
        <f t="shared" si="22"/>
        <v>0</v>
      </c>
      <c r="O92" s="366">
        <f t="shared" si="22"/>
        <v>0</v>
      </c>
      <c r="P92" s="366">
        <f t="shared" si="22"/>
        <v>0</v>
      </c>
      <c r="Q92" s="366">
        <f t="shared" si="22"/>
        <v>0</v>
      </c>
      <c r="R92" s="366">
        <f t="shared" si="22"/>
        <v>0</v>
      </c>
      <c r="S92" s="366">
        <f t="shared" si="22"/>
        <v>0</v>
      </c>
      <c r="T92" s="366">
        <f t="shared" si="15"/>
        <v>0</v>
      </c>
      <c r="U92" s="366">
        <f t="shared" si="22"/>
        <v>0</v>
      </c>
      <c r="V92" s="366">
        <f t="shared" si="22"/>
        <v>0</v>
      </c>
      <c r="W92" s="404">
        <f t="shared" si="16"/>
        <v>0</v>
      </c>
      <c r="X92" s="405" t="e">
        <f t="shared" si="17"/>
        <v>#DIV/0!</v>
      </c>
      <c r="Y92" s="419"/>
      <c r="Z92" s="4"/>
    </row>
    <row r="93" s="205" customFormat="1" ht="22" customHeight="1" spans="1:26">
      <c r="A93" s="369" t="s">
        <v>211</v>
      </c>
      <c r="B93" s="370"/>
      <c r="C93" s="316"/>
      <c r="D93" s="371"/>
      <c r="E93" s="372"/>
      <c r="F93" s="372"/>
      <c r="G93" s="373"/>
      <c r="H93" s="374"/>
      <c r="I93" s="372"/>
      <c r="J93" s="372"/>
      <c r="K93" s="372"/>
      <c r="L93" s="398"/>
      <c r="M93" s="372"/>
      <c r="N93" s="372"/>
      <c r="O93" s="372"/>
      <c r="P93" s="398"/>
      <c r="Q93" s="372"/>
      <c r="R93" s="372"/>
      <c r="S93" s="372"/>
      <c r="T93" s="398"/>
      <c r="U93" s="406"/>
      <c r="V93" s="407"/>
      <c r="W93" s="408">
        <f t="shared" si="16"/>
        <v>0</v>
      </c>
      <c r="X93" s="409" t="e">
        <f t="shared" si="17"/>
        <v>#DIV/0!</v>
      </c>
      <c r="Y93" s="420"/>
      <c r="Z93" s="4"/>
    </row>
    <row r="94" s="205" customFormat="1" ht="22" customHeight="1" spans="1:26">
      <c r="A94" s="375" t="s">
        <v>212</v>
      </c>
      <c r="B94" s="376"/>
      <c r="C94" s="377">
        <f>SUM(C92:C93)</f>
        <v>0</v>
      </c>
      <c r="D94" s="378">
        <f>SUM(D92:D93)</f>
        <v>0</v>
      </c>
      <c r="E94" s="379">
        <f>SUM(E92:E93)</f>
        <v>0</v>
      </c>
      <c r="F94" s="379">
        <f>SUM(F92:F93)</f>
        <v>0</v>
      </c>
      <c r="G94" s="380">
        <f>SUM(G92:G93)</f>
        <v>0</v>
      </c>
      <c r="H94" s="381">
        <f t="shared" ref="H94:V94" si="23">SUM(H92:H93)</f>
        <v>0</v>
      </c>
      <c r="I94" s="379">
        <f t="shared" si="23"/>
        <v>0</v>
      </c>
      <c r="J94" s="379">
        <f t="shared" si="23"/>
        <v>0</v>
      </c>
      <c r="K94" s="379">
        <f t="shared" si="23"/>
        <v>0</v>
      </c>
      <c r="L94" s="379">
        <f t="shared" si="23"/>
        <v>0</v>
      </c>
      <c r="M94" s="379">
        <f t="shared" si="23"/>
        <v>0</v>
      </c>
      <c r="N94" s="379">
        <f t="shared" si="23"/>
        <v>0</v>
      </c>
      <c r="O94" s="379">
        <f t="shared" si="23"/>
        <v>0</v>
      </c>
      <c r="P94" s="379">
        <f t="shared" si="23"/>
        <v>0</v>
      </c>
      <c r="Q94" s="379">
        <f t="shared" si="23"/>
        <v>0</v>
      </c>
      <c r="R94" s="379">
        <f t="shared" si="23"/>
        <v>0</v>
      </c>
      <c r="S94" s="379">
        <f t="shared" si="23"/>
        <v>0</v>
      </c>
      <c r="T94" s="379">
        <f t="shared" si="23"/>
        <v>0</v>
      </c>
      <c r="U94" s="379">
        <f t="shared" si="23"/>
        <v>0</v>
      </c>
      <c r="V94" s="379">
        <f t="shared" si="23"/>
        <v>0</v>
      </c>
      <c r="W94" s="410">
        <f t="shared" si="16"/>
        <v>0</v>
      </c>
      <c r="X94" s="411" t="e">
        <f t="shared" si="17"/>
        <v>#DIV/0!</v>
      </c>
      <c r="Y94" s="421"/>
      <c r="Z94" s="4"/>
    </row>
    <row r="95" s="205" customFormat="1" ht="20" customHeight="1" spans="1:26">
      <c r="A95" s="382" t="s">
        <v>113</v>
      </c>
      <c r="B95" s="383"/>
      <c r="C95" s="384"/>
      <c r="D95" s="384"/>
      <c r="E95" s="385"/>
      <c r="F95" s="385"/>
      <c r="G95" s="385"/>
      <c r="H95" s="385"/>
      <c r="I95" s="385"/>
      <c r="J95" s="385"/>
      <c r="K95" s="385"/>
      <c r="L95" s="385"/>
      <c r="M95" s="385"/>
      <c r="N95" s="385"/>
      <c r="O95" s="385"/>
      <c r="P95" s="385"/>
      <c r="Q95" s="385"/>
      <c r="R95" s="385"/>
      <c r="S95" s="385"/>
      <c r="T95" s="385"/>
      <c r="U95" s="385"/>
      <c r="V95" s="385"/>
      <c r="W95" s="385"/>
      <c r="X95" s="412"/>
      <c r="Y95" s="412"/>
      <c r="Z95" s="4"/>
    </row>
    <row r="96" s="205" customFormat="1" ht="20" customHeight="1" spans="1:25">
      <c r="A96" s="386" t="s">
        <v>213</v>
      </c>
      <c r="B96" s="386"/>
      <c r="C96" s="386"/>
      <c r="D96" s="386"/>
      <c r="E96" s="386"/>
      <c r="F96" s="386"/>
      <c r="G96" s="386"/>
      <c r="H96" s="386"/>
      <c r="I96" s="386"/>
      <c r="J96" s="386"/>
      <c r="K96" s="386"/>
      <c r="L96" s="386"/>
      <c r="M96" s="386"/>
      <c r="N96" s="386"/>
      <c r="O96" s="386"/>
      <c r="P96" s="386"/>
      <c r="Q96" s="386"/>
      <c r="R96" s="386"/>
      <c r="S96" s="386"/>
      <c r="T96" s="386"/>
      <c r="U96" s="386"/>
      <c r="V96" s="386"/>
      <c r="W96" s="386"/>
      <c r="X96" s="413"/>
      <c r="Y96" s="414"/>
    </row>
    <row r="97" s="205" customFormat="1" ht="20" customHeight="1" spans="1:25">
      <c r="A97" s="383" t="s">
        <v>214</v>
      </c>
      <c r="B97" s="383"/>
      <c r="C97" s="384"/>
      <c r="D97" s="384"/>
      <c r="E97" s="383"/>
      <c r="F97" s="383"/>
      <c r="G97" s="383"/>
      <c r="H97" s="383"/>
      <c r="I97" s="383"/>
      <c r="J97" s="383"/>
      <c r="K97" s="383"/>
      <c r="L97" s="383"/>
      <c r="M97" s="383"/>
      <c r="N97" s="383"/>
      <c r="O97" s="383"/>
      <c r="P97" s="383"/>
      <c r="Q97" s="383"/>
      <c r="R97" s="383"/>
      <c r="S97" s="383"/>
      <c r="T97" s="383"/>
      <c r="U97" s="383"/>
      <c r="V97" s="383"/>
      <c r="W97" s="383"/>
      <c r="X97" s="414"/>
      <c r="Y97" s="414"/>
    </row>
    <row r="98" s="205" customFormat="1" ht="20" customHeight="1" spans="1:24">
      <c r="A98" s="383" t="s">
        <v>215</v>
      </c>
      <c r="B98" s="384"/>
      <c r="C98" s="384"/>
      <c r="D98" s="383"/>
      <c r="E98" s="383"/>
      <c r="F98" s="383"/>
      <c r="G98" s="383"/>
      <c r="H98" s="383"/>
      <c r="I98" s="383"/>
      <c r="J98" s="383"/>
      <c r="K98" s="383"/>
      <c r="L98" s="383"/>
      <c r="M98" s="383"/>
      <c r="N98" s="383"/>
      <c r="O98" s="383"/>
      <c r="P98" s="383"/>
      <c r="Q98" s="383"/>
      <c r="R98" s="383"/>
      <c r="S98" s="383"/>
      <c r="T98" s="383"/>
      <c r="U98" s="383"/>
      <c r="V98" s="383"/>
      <c r="W98" s="414"/>
      <c r="X98" s="414"/>
    </row>
    <row r="99" spans="1:25">
      <c r="A99" s="387"/>
      <c r="B99" s="388"/>
      <c r="C99" s="389"/>
      <c r="D99" s="390"/>
      <c r="E99" s="390"/>
      <c r="F99" s="390"/>
      <c r="G99" s="390"/>
      <c r="H99" s="390"/>
      <c r="I99" s="390"/>
      <c r="J99" s="390"/>
      <c r="K99" s="390"/>
      <c r="L99" s="390"/>
      <c r="M99" s="390"/>
      <c r="N99" s="390"/>
      <c r="O99" s="390"/>
      <c r="P99" s="390"/>
      <c r="Q99" s="390"/>
      <c r="R99" s="390"/>
      <c r="S99" s="390"/>
      <c r="T99" s="390"/>
      <c r="U99" s="390"/>
      <c r="V99" s="415"/>
      <c r="W99" s="390"/>
      <c r="X99" s="394"/>
      <c r="Y99" s="394"/>
    </row>
    <row r="100" spans="1:25">
      <c r="A100" s="387"/>
      <c r="B100" s="388"/>
      <c r="C100" s="389"/>
      <c r="D100" s="390"/>
      <c r="E100" s="390"/>
      <c r="F100" s="390"/>
      <c r="G100" s="390"/>
      <c r="H100" s="390"/>
      <c r="I100" s="390"/>
      <c r="J100" s="390"/>
      <c r="K100" s="390"/>
      <c r="L100" s="390"/>
      <c r="M100" s="390"/>
      <c r="N100" s="390"/>
      <c r="O100" s="390"/>
      <c r="P100" s="390"/>
      <c r="Q100" s="390"/>
      <c r="R100" s="390"/>
      <c r="S100" s="390"/>
      <c r="T100" s="390"/>
      <c r="U100" s="390"/>
      <c r="V100" s="390"/>
      <c r="W100" s="390"/>
      <c r="X100" s="394"/>
      <c r="Y100" s="394"/>
    </row>
    <row r="101" spans="1:25">
      <c r="A101" s="391"/>
      <c r="B101" s="392"/>
      <c r="C101" s="393"/>
      <c r="D101" s="394"/>
      <c r="E101" s="394"/>
      <c r="F101" s="394"/>
      <c r="G101" s="394"/>
      <c r="H101" s="394"/>
      <c r="I101" s="394"/>
      <c r="J101" s="394"/>
      <c r="K101" s="394"/>
      <c r="L101" s="394"/>
      <c r="M101" s="394"/>
      <c r="N101" s="394"/>
      <c r="O101" s="394"/>
      <c r="P101" s="394"/>
      <c r="Q101" s="394"/>
      <c r="R101" s="394"/>
      <c r="S101" s="394"/>
      <c r="T101" s="416"/>
      <c r="U101" s="416"/>
      <c r="V101" s="416"/>
      <c r="W101" s="416"/>
      <c r="X101" s="394"/>
      <c r="Y101" s="394"/>
    </row>
    <row r="102" spans="1:25">
      <c r="A102" s="391"/>
      <c r="B102" s="392"/>
      <c r="C102" s="393"/>
      <c r="D102" s="394"/>
      <c r="E102" s="394"/>
      <c r="F102" s="394"/>
      <c r="G102" s="394"/>
      <c r="H102" s="394"/>
      <c r="I102" s="394"/>
      <c r="J102" s="394"/>
      <c r="K102" s="394"/>
      <c r="L102" s="394"/>
      <c r="M102" s="394"/>
      <c r="N102" s="394"/>
      <c r="O102" s="394"/>
      <c r="P102" s="394"/>
      <c r="Q102" s="394"/>
      <c r="R102" s="394"/>
      <c r="S102" s="394"/>
      <c r="T102" s="416"/>
      <c r="U102" s="416"/>
      <c r="V102" s="416"/>
      <c r="W102" s="416"/>
      <c r="X102" s="394"/>
      <c r="Y102" s="394"/>
    </row>
    <row r="103" spans="1:25">
      <c r="A103" s="391"/>
      <c r="B103" s="392"/>
      <c r="C103" s="393"/>
      <c r="D103" s="394"/>
      <c r="E103" s="394"/>
      <c r="F103" s="394"/>
      <c r="G103" s="394"/>
      <c r="H103" s="394"/>
      <c r="I103" s="394"/>
      <c r="J103" s="394"/>
      <c r="K103" s="394"/>
      <c r="L103" s="394"/>
      <c r="M103" s="394"/>
      <c r="N103" s="394"/>
      <c r="O103" s="394"/>
      <c r="P103" s="394"/>
      <c r="Q103" s="394"/>
      <c r="R103" s="394"/>
      <c r="S103" s="394"/>
      <c r="T103" s="416"/>
      <c r="U103" s="416"/>
      <c r="V103" s="416"/>
      <c r="W103" s="416"/>
      <c r="X103" s="394"/>
      <c r="Y103" s="394"/>
    </row>
    <row r="104" spans="1:25">
      <c r="A104" s="391"/>
      <c r="B104" s="392"/>
      <c r="C104" s="393"/>
      <c r="D104" s="394"/>
      <c r="E104" s="394"/>
      <c r="F104" s="394"/>
      <c r="G104" s="394"/>
      <c r="H104" s="394"/>
      <c r="I104" s="394"/>
      <c r="J104" s="394"/>
      <c r="K104" s="394"/>
      <c r="L104" s="394"/>
      <c r="M104" s="394"/>
      <c r="N104" s="394"/>
      <c r="O104" s="394"/>
      <c r="P104" s="394"/>
      <c r="Q104" s="394"/>
      <c r="R104" s="394"/>
      <c r="S104" s="394"/>
      <c r="T104" s="416"/>
      <c r="U104" s="416"/>
      <c r="V104" s="416"/>
      <c r="W104" s="416"/>
      <c r="X104" s="394"/>
      <c r="Y104" s="394"/>
    </row>
  </sheetData>
  <mergeCells count="2">
    <mergeCell ref="A1:Y1"/>
    <mergeCell ref="X95:Y95"/>
  </mergeCells>
  <pageMargins left="0.75" right="0.75" top="1" bottom="1" header="0.511805555555556" footer="0.511805555555556"/>
  <headerFooter/>
  <ignoredErrors>
    <ignoredError sqref="C92" formulaRange="1"/>
  </ignoredError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V67"/>
  <sheetViews>
    <sheetView showGridLines="0" workbookViewId="0">
      <selection activeCell="A1" sqref="A1:V1"/>
    </sheetView>
  </sheetViews>
  <sheetFormatPr defaultColWidth="8.66666666666667" defaultRowHeight="14.25"/>
  <cols>
    <col min="1" max="1" width="20.0833333333333" customWidth="1"/>
    <col min="2" max="2" width="8.66666666666667" style="216"/>
    <col min="6" max="17" width="8.66666666666667" style="216"/>
    <col min="21" max="22" width="10.25" customWidth="1"/>
  </cols>
  <sheetData>
    <row r="1" ht="29" customHeight="1" spans="1:22">
      <c r="A1" s="182" t="s">
        <v>216</v>
      </c>
      <c r="B1" s="182"/>
      <c r="C1" s="182"/>
      <c r="D1" s="182"/>
      <c r="E1" s="182"/>
      <c r="F1" s="182"/>
      <c r="G1" s="182"/>
      <c r="H1" s="182"/>
      <c r="I1" s="182"/>
      <c r="J1" s="182"/>
      <c r="K1" s="182"/>
      <c r="L1" s="182"/>
      <c r="M1" s="182"/>
      <c r="N1" s="182"/>
      <c r="O1" s="182"/>
      <c r="P1" s="182"/>
      <c r="Q1" s="182"/>
      <c r="R1" s="182"/>
      <c r="S1" s="182"/>
      <c r="T1" s="182"/>
      <c r="U1" s="182"/>
      <c r="V1" s="182"/>
    </row>
    <row r="2" s="1" customFormat="1" ht="23" customHeight="1" spans="1:18">
      <c r="A2" s="1" t="s">
        <v>1</v>
      </c>
      <c r="B2" s="217"/>
      <c r="F2" s="217"/>
      <c r="G2" s="217"/>
      <c r="H2" s="217"/>
      <c r="I2" s="217"/>
      <c r="J2" s="217" t="s">
        <v>2</v>
      </c>
      <c r="K2" s="217"/>
      <c r="L2" s="217"/>
      <c r="M2" s="217"/>
      <c r="N2" s="217"/>
      <c r="O2" s="217"/>
      <c r="P2" s="217"/>
      <c r="Q2" s="217"/>
      <c r="R2" s="1" t="s">
        <v>3</v>
      </c>
    </row>
    <row r="3" s="205" customFormat="1" ht="22" customHeight="1" spans="1:22">
      <c r="A3" s="218" t="s">
        <v>121</v>
      </c>
      <c r="B3" s="219" t="s">
        <v>217</v>
      </c>
      <c r="C3" s="219"/>
      <c r="D3" s="219"/>
      <c r="E3" s="219"/>
      <c r="F3" s="219"/>
      <c r="G3" s="219"/>
      <c r="H3" s="219"/>
      <c r="I3" s="219"/>
      <c r="J3" s="219"/>
      <c r="K3" s="219"/>
      <c r="L3" s="219"/>
      <c r="M3" s="219"/>
      <c r="N3" s="219"/>
      <c r="O3" s="219"/>
      <c r="P3" s="219"/>
      <c r="Q3" s="219"/>
      <c r="R3" s="275" t="s">
        <v>124</v>
      </c>
      <c r="S3" s="34" t="s">
        <v>126</v>
      </c>
      <c r="T3" s="34" t="s">
        <v>127</v>
      </c>
      <c r="U3" s="276" t="s">
        <v>128</v>
      </c>
      <c r="V3" s="36" t="s">
        <v>81</v>
      </c>
    </row>
    <row r="4" s="205" customFormat="1" ht="22" customHeight="1" spans="1:22">
      <c r="A4" s="220"/>
      <c r="B4" s="12" t="s">
        <v>218</v>
      </c>
      <c r="C4" s="13" t="s">
        <v>83</v>
      </c>
      <c r="D4" s="13" t="s">
        <v>84</v>
      </c>
      <c r="E4" s="14" t="s">
        <v>85</v>
      </c>
      <c r="F4" s="12" t="s">
        <v>219</v>
      </c>
      <c r="G4" s="13" t="s">
        <v>87</v>
      </c>
      <c r="H4" s="13" t="s">
        <v>88</v>
      </c>
      <c r="I4" s="28" t="s">
        <v>89</v>
      </c>
      <c r="J4" s="29" t="s">
        <v>220</v>
      </c>
      <c r="K4" s="13" t="s">
        <v>91</v>
      </c>
      <c r="L4" s="13" t="s">
        <v>92</v>
      </c>
      <c r="M4" s="14" t="s">
        <v>93</v>
      </c>
      <c r="N4" s="12" t="s">
        <v>221</v>
      </c>
      <c r="O4" s="13" t="s">
        <v>95</v>
      </c>
      <c r="P4" s="13" t="s">
        <v>96</v>
      </c>
      <c r="Q4" s="28" t="s">
        <v>97</v>
      </c>
      <c r="R4" s="277"/>
      <c r="S4" s="38"/>
      <c r="T4" s="38"/>
      <c r="U4" s="278"/>
      <c r="V4" s="40"/>
    </row>
    <row r="5" s="205" customFormat="1" ht="22" customHeight="1" spans="1:22">
      <c r="A5" s="221" t="s">
        <v>129</v>
      </c>
      <c r="B5" s="222"/>
      <c r="C5" s="223"/>
      <c r="D5" s="223"/>
      <c r="E5" s="224"/>
      <c r="F5" s="222"/>
      <c r="G5" s="225"/>
      <c r="H5" s="225"/>
      <c r="I5" s="259"/>
      <c r="J5" s="260"/>
      <c r="K5" s="225"/>
      <c r="L5" s="225"/>
      <c r="M5" s="261"/>
      <c r="N5" s="222"/>
      <c r="O5" s="225"/>
      <c r="P5" s="225"/>
      <c r="Q5" s="259"/>
      <c r="R5" s="260"/>
      <c r="S5" s="225"/>
      <c r="T5" s="225"/>
      <c r="U5" s="279"/>
      <c r="V5" s="42"/>
    </row>
    <row r="6" ht="22" customHeight="1" spans="1:22">
      <c r="A6" s="226" t="s">
        <v>222</v>
      </c>
      <c r="B6" s="222">
        <f>SUM(C6:E6)</f>
        <v>0</v>
      </c>
      <c r="C6" s="227"/>
      <c r="D6" s="227"/>
      <c r="E6" s="228"/>
      <c r="F6" s="229">
        <f>SUM(G6:I6)</f>
        <v>0</v>
      </c>
      <c r="G6" s="227"/>
      <c r="H6" s="227"/>
      <c r="I6" s="262"/>
      <c r="J6" s="263">
        <f>SUM(K6:M6)</f>
        <v>0</v>
      </c>
      <c r="K6" s="227"/>
      <c r="L6" s="227"/>
      <c r="M6" s="228"/>
      <c r="N6" s="229">
        <f>SUM(O6:Q6)</f>
        <v>0</v>
      </c>
      <c r="O6" s="227"/>
      <c r="P6" s="227"/>
      <c r="Q6" s="262"/>
      <c r="R6" s="280">
        <f>B6+F6+J6+N6</f>
        <v>0</v>
      </c>
      <c r="S6" s="227"/>
      <c r="T6" s="227">
        <f>R6-S6</f>
        <v>0</v>
      </c>
      <c r="U6" s="281" t="e">
        <f>T6/R6</f>
        <v>#DIV/0!</v>
      </c>
      <c r="V6" s="282"/>
    </row>
    <row r="7" ht="22" customHeight="1" spans="1:22">
      <c r="A7" s="226" t="s">
        <v>223</v>
      </c>
      <c r="B7" s="222">
        <f t="shared" ref="B6:B37" si="0">SUM(C7:E7)</f>
        <v>0</v>
      </c>
      <c r="C7" s="227"/>
      <c r="D7" s="227"/>
      <c r="E7" s="228"/>
      <c r="F7" s="229">
        <f t="shared" ref="F7:F38" si="1">SUM(G7:I7)</f>
        <v>0</v>
      </c>
      <c r="G7" s="227"/>
      <c r="H7" s="227"/>
      <c r="I7" s="262"/>
      <c r="J7" s="263">
        <f t="shared" ref="J7:J38" si="2">SUM(K7:M7)</f>
        <v>0</v>
      </c>
      <c r="K7" s="227"/>
      <c r="L7" s="227"/>
      <c r="M7" s="228"/>
      <c r="N7" s="229">
        <f t="shared" ref="N7:N38" si="3">SUM(O7:Q7)</f>
        <v>0</v>
      </c>
      <c r="O7" s="227"/>
      <c r="P7" s="227"/>
      <c r="Q7" s="262"/>
      <c r="R7" s="280">
        <f t="shared" ref="R7:R38" si="4">B7+F7+J7+N7</f>
        <v>0</v>
      </c>
      <c r="S7" s="227"/>
      <c r="T7" s="227">
        <f t="shared" ref="T7:T38" si="5">R7-S7</f>
        <v>0</v>
      </c>
      <c r="U7" s="281" t="e">
        <f t="shared" ref="U7:U38" si="6">T7/R7</f>
        <v>#DIV/0!</v>
      </c>
      <c r="V7" s="282"/>
    </row>
    <row r="8" ht="22" customHeight="1" spans="1:22">
      <c r="A8" s="226" t="s">
        <v>224</v>
      </c>
      <c r="B8" s="222">
        <f t="shared" si="0"/>
        <v>0</v>
      </c>
      <c r="C8" s="227"/>
      <c r="D8" s="227"/>
      <c r="E8" s="228"/>
      <c r="F8" s="229">
        <f t="shared" si="1"/>
        <v>0</v>
      </c>
      <c r="G8" s="227"/>
      <c r="H8" s="227"/>
      <c r="I8" s="262"/>
      <c r="J8" s="263">
        <f t="shared" si="2"/>
        <v>0</v>
      </c>
      <c r="K8" s="227"/>
      <c r="L8" s="227"/>
      <c r="M8" s="228"/>
      <c r="N8" s="229">
        <f t="shared" si="3"/>
        <v>0</v>
      </c>
      <c r="O8" s="227"/>
      <c r="P8" s="227"/>
      <c r="Q8" s="262"/>
      <c r="R8" s="280">
        <f t="shared" si="4"/>
        <v>0</v>
      </c>
      <c r="S8" s="227"/>
      <c r="T8" s="227">
        <f t="shared" si="5"/>
        <v>0</v>
      </c>
      <c r="U8" s="281" t="e">
        <f t="shared" si="6"/>
        <v>#DIV/0!</v>
      </c>
      <c r="V8" s="282"/>
    </row>
    <row r="9" ht="22" customHeight="1" spans="1:22">
      <c r="A9" s="226" t="s">
        <v>225</v>
      </c>
      <c r="B9" s="222">
        <f t="shared" si="0"/>
        <v>0</v>
      </c>
      <c r="C9" s="227"/>
      <c r="D9" s="227"/>
      <c r="E9" s="228"/>
      <c r="F9" s="229">
        <f t="shared" si="1"/>
        <v>0</v>
      </c>
      <c r="G9" s="227"/>
      <c r="H9" s="227"/>
      <c r="I9" s="262"/>
      <c r="J9" s="263">
        <f t="shared" si="2"/>
        <v>0</v>
      </c>
      <c r="K9" s="227"/>
      <c r="L9" s="227"/>
      <c r="M9" s="228"/>
      <c r="N9" s="229">
        <f t="shared" si="3"/>
        <v>0</v>
      </c>
      <c r="O9" s="227"/>
      <c r="P9" s="227"/>
      <c r="Q9" s="262"/>
      <c r="R9" s="280">
        <f t="shared" si="4"/>
        <v>0</v>
      </c>
      <c r="S9" s="227"/>
      <c r="T9" s="227">
        <f t="shared" si="5"/>
        <v>0</v>
      </c>
      <c r="U9" s="281" t="e">
        <f t="shared" si="6"/>
        <v>#DIV/0!</v>
      </c>
      <c r="V9" s="282"/>
    </row>
    <row r="10" ht="22" customHeight="1" spans="1:22">
      <c r="A10" s="226" t="s">
        <v>226</v>
      </c>
      <c r="B10" s="222">
        <f t="shared" si="0"/>
        <v>0</v>
      </c>
      <c r="C10" s="227"/>
      <c r="D10" s="227"/>
      <c r="E10" s="228"/>
      <c r="F10" s="229">
        <f t="shared" si="1"/>
        <v>0</v>
      </c>
      <c r="G10" s="227"/>
      <c r="H10" s="227"/>
      <c r="I10" s="262"/>
      <c r="J10" s="263">
        <f t="shared" si="2"/>
        <v>0</v>
      </c>
      <c r="K10" s="227"/>
      <c r="L10" s="227"/>
      <c r="M10" s="228"/>
      <c r="N10" s="229">
        <f t="shared" si="3"/>
        <v>0</v>
      </c>
      <c r="O10" s="227"/>
      <c r="P10" s="227"/>
      <c r="Q10" s="262"/>
      <c r="R10" s="280">
        <f t="shared" si="4"/>
        <v>0</v>
      </c>
      <c r="S10" s="227"/>
      <c r="T10" s="227">
        <f t="shared" si="5"/>
        <v>0</v>
      </c>
      <c r="U10" s="281" t="e">
        <f t="shared" si="6"/>
        <v>#DIV/0!</v>
      </c>
      <c r="V10" s="282"/>
    </row>
    <row r="11" ht="22" customHeight="1" spans="1:22">
      <c r="A11" s="226" t="s">
        <v>227</v>
      </c>
      <c r="B11" s="222">
        <f t="shared" si="0"/>
        <v>0</v>
      </c>
      <c r="C11" s="227"/>
      <c r="D11" s="227"/>
      <c r="E11" s="228"/>
      <c r="F11" s="229">
        <f t="shared" si="1"/>
        <v>0</v>
      </c>
      <c r="G11" s="227"/>
      <c r="H11" s="227"/>
      <c r="I11" s="262"/>
      <c r="J11" s="263">
        <f t="shared" si="2"/>
        <v>0</v>
      </c>
      <c r="K11" s="227"/>
      <c r="L11" s="227"/>
      <c r="M11" s="228"/>
      <c r="N11" s="229">
        <f t="shared" si="3"/>
        <v>0</v>
      </c>
      <c r="O11" s="227"/>
      <c r="P11" s="227"/>
      <c r="Q11" s="262"/>
      <c r="R11" s="280">
        <f t="shared" si="4"/>
        <v>0</v>
      </c>
      <c r="S11" s="227"/>
      <c r="T11" s="227">
        <f t="shared" si="5"/>
        <v>0</v>
      </c>
      <c r="U11" s="281" t="e">
        <f t="shared" si="6"/>
        <v>#DIV/0!</v>
      </c>
      <c r="V11" s="282"/>
    </row>
    <row r="12" ht="22" customHeight="1" spans="1:22">
      <c r="A12" s="226" t="s">
        <v>228</v>
      </c>
      <c r="B12" s="222">
        <f t="shared" si="0"/>
        <v>0</v>
      </c>
      <c r="C12" s="230"/>
      <c r="D12" s="230"/>
      <c r="E12" s="231"/>
      <c r="F12" s="229">
        <f t="shared" si="1"/>
        <v>0</v>
      </c>
      <c r="G12" s="230"/>
      <c r="H12" s="230"/>
      <c r="I12" s="264"/>
      <c r="J12" s="263">
        <f t="shared" si="2"/>
        <v>0</v>
      </c>
      <c r="K12" s="230"/>
      <c r="L12" s="230"/>
      <c r="M12" s="231"/>
      <c r="N12" s="229">
        <f t="shared" si="3"/>
        <v>0</v>
      </c>
      <c r="O12" s="230"/>
      <c r="P12" s="230"/>
      <c r="Q12" s="264"/>
      <c r="R12" s="280">
        <f t="shared" si="4"/>
        <v>0</v>
      </c>
      <c r="S12" s="230"/>
      <c r="T12" s="227">
        <f t="shared" si="5"/>
        <v>0</v>
      </c>
      <c r="U12" s="281" t="e">
        <f t="shared" si="6"/>
        <v>#DIV/0!</v>
      </c>
      <c r="V12" s="282"/>
    </row>
    <row r="13" ht="22" customHeight="1" spans="1:22">
      <c r="A13" s="226" t="s">
        <v>229</v>
      </c>
      <c r="B13" s="222">
        <f t="shared" si="0"/>
        <v>0</v>
      </c>
      <c r="C13" s="227"/>
      <c r="D13" s="227"/>
      <c r="E13" s="228"/>
      <c r="F13" s="229">
        <f t="shared" si="1"/>
        <v>0</v>
      </c>
      <c r="G13" s="227"/>
      <c r="H13" s="227"/>
      <c r="I13" s="262"/>
      <c r="J13" s="263">
        <f t="shared" si="2"/>
        <v>0</v>
      </c>
      <c r="K13" s="227"/>
      <c r="L13" s="227"/>
      <c r="M13" s="228"/>
      <c r="N13" s="229">
        <f t="shared" si="3"/>
        <v>0</v>
      </c>
      <c r="O13" s="227"/>
      <c r="P13" s="227"/>
      <c r="Q13" s="262"/>
      <c r="R13" s="280">
        <f t="shared" si="4"/>
        <v>0</v>
      </c>
      <c r="S13" s="227"/>
      <c r="T13" s="227">
        <f t="shared" si="5"/>
        <v>0</v>
      </c>
      <c r="U13" s="281" t="e">
        <f t="shared" si="6"/>
        <v>#DIV/0!</v>
      </c>
      <c r="V13" s="282"/>
    </row>
    <row r="14" ht="22" customHeight="1" spans="1:22">
      <c r="A14" s="226" t="s">
        <v>230</v>
      </c>
      <c r="B14" s="222">
        <f t="shared" si="0"/>
        <v>0</v>
      </c>
      <c r="C14" s="227"/>
      <c r="D14" s="227"/>
      <c r="E14" s="228"/>
      <c r="F14" s="229">
        <f t="shared" si="1"/>
        <v>0</v>
      </c>
      <c r="G14" s="227"/>
      <c r="H14" s="227"/>
      <c r="I14" s="262"/>
      <c r="J14" s="263">
        <f t="shared" si="2"/>
        <v>0</v>
      </c>
      <c r="K14" s="227"/>
      <c r="L14" s="227"/>
      <c r="M14" s="228"/>
      <c r="N14" s="229">
        <f t="shared" si="3"/>
        <v>0</v>
      </c>
      <c r="O14" s="227"/>
      <c r="P14" s="227"/>
      <c r="Q14" s="262"/>
      <c r="R14" s="280">
        <f t="shared" si="4"/>
        <v>0</v>
      </c>
      <c r="S14" s="227"/>
      <c r="T14" s="227">
        <f t="shared" si="5"/>
        <v>0</v>
      </c>
      <c r="U14" s="281" t="e">
        <f t="shared" si="6"/>
        <v>#DIV/0!</v>
      </c>
      <c r="V14" s="282"/>
    </row>
    <row r="15" ht="22" customHeight="1" spans="1:22">
      <c r="A15" s="226" t="s">
        <v>231</v>
      </c>
      <c r="B15" s="222">
        <f t="shared" si="0"/>
        <v>0</v>
      </c>
      <c r="C15" s="227"/>
      <c r="D15" s="227"/>
      <c r="E15" s="228"/>
      <c r="F15" s="229">
        <f t="shared" si="1"/>
        <v>0</v>
      </c>
      <c r="G15" s="227"/>
      <c r="H15" s="227"/>
      <c r="I15" s="262"/>
      <c r="J15" s="263">
        <f t="shared" si="2"/>
        <v>0</v>
      </c>
      <c r="K15" s="227"/>
      <c r="L15" s="227"/>
      <c r="M15" s="228"/>
      <c r="N15" s="229">
        <f t="shared" si="3"/>
        <v>0</v>
      </c>
      <c r="O15" s="227"/>
      <c r="P15" s="227"/>
      <c r="Q15" s="262"/>
      <c r="R15" s="280">
        <f t="shared" si="4"/>
        <v>0</v>
      </c>
      <c r="S15" s="227"/>
      <c r="T15" s="227">
        <f t="shared" si="5"/>
        <v>0</v>
      </c>
      <c r="U15" s="281" t="e">
        <f t="shared" si="6"/>
        <v>#DIV/0!</v>
      </c>
      <c r="V15" s="282"/>
    </row>
    <row r="16" ht="22" customHeight="1" spans="1:22">
      <c r="A16" s="226" t="s">
        <v>232</v>
      </c>
      <c r="B16" s="222">
        <f t="shared" si="0"/>
        <v>0</v>
      </c>
      <c r="C16" s="227"/>
      <c r="D16" s="227"/>
      <c r="E16" s="228"/>
      <c r="F16" s="229">
        <f t="shared" si="1"/>
        <v>0</v>
      </c>
      <c r="G16" s="227"/>
      <c r="H16" s="227"/>
      <c r="I16" s="262"/>
      <c r="J16" s="263">
        <f t="shared" si="2"/>
        <v>0</v>
      </c>
      <c r="K16" s="227"/>
      <c r="L16" s="227"/>
      <c r="M16" s="228"/>
      <c r="N16" s="229">
        <f t="shared" si="3"/>
        <v>0</v>
      </c>
      <c r="O16" s="227"/>
      <c r="P16" s="227"/>
      <c r="Q16" s="262"/>
      <c r="R16" s="280">
        <f t="shared" si="4"/>
        <v>0</v>
      </c>
      <c r="S16" s="227"/>
      <c r="T16" s="227">
        <f t="shared" si="5"/>
        <v>0</v>
      </c>
      <c r="U16" s="281" t="e">
        <f t="shared" si="6"/>
        <v>#DIV/0!</v>
      </c>
      <c r="V16" s="282"/>
    </row>
    <row r="17" ht="22" customHeight="1" spans="1:22">
      <c r="A17" s="226" t="s">
        <v>233</v>
      </c>
      <c r="B17" s="222">
        <f t="shared" si="0"/>
        <v>0</v>
      </c>
      <c r="C17" s="227"/>
      <c r="D17" s="227"/>
      <c r="E17" s="228"/>
      <c r="F17" s="229">
        <f t="shared" si="1"/>
        <v>0</v>
      </c>
      <c r="G17" s="227"/>
      <c r="H17" s="227"/>
      <c r="I17" s="262"/>
      <c r="J17" s="263">
        <f t="shared" si="2"/>
        <v>0</v>
      </c>
      <c r="K17" s="227"/>
      <c r="L17" s="227"/>
      <c r="M17" s="228"/>
      <c r="N17" s="229">
        <f t="shared" si="3"/>
        <v>0</v>
      </c>
      <c r="O17" s="227"/>
      <c r="P17" s="227"/>
      <c r="Q17" s="262"/>
      <c r="R17" s="280">
        <f t="shared" si="4"/>
        <v>0</v>
      </c>
      <c r="S17" s="227"/>
      <c r="T17" s="227">
        <f t="shared" si="5"/>
        <v>0</v>
      </c>
      <c r="U17" s="281" t="e">
        <f t="shared" si="6"/>
        <v>#DIV/0!</v>
      </c>
      <c r="V17" s="282"/>
    </row>
    <row r="18" ht="22" customHeight="1" spans="1:22">
      <c r="A18" s="226" t="s">
        <v>234</v>
      </c>
      <c r="B18" s="222">
        <f t="shared" si="0"/>
        <v>0</v>
      </c>
      <c r="C18" s="230"/>
      <c r="D18" s="230"/>
      <c r="E18" s="231"/>
      <c r="F18" s="229">
        <f t="shared" si="1"/>
        <v>0</v>
      </c>
      <c r="G18" s="230"/>
      <c r="H18" s="230"/>
      <c r="I18" s="264"/>
      <c r="J18" s="263">
        <f t="shared" si="2"/>
        <v>0</v>
      </c>
      <c r="K18" s="230"/>
      <c r="L18" s="230"/>
      <c r="M18" s="231"/>
      <c r="N18" s="229">
        <f t="shared" si="3"/>
        <v>0</v>
      </c>
      <c r="O18" s="230"/>
      <c r="P18" s="230"/>
      <c r="Q18" s="264"/>
      <c r="R18" s="280">
        <f t="shared" si="4"/>
        <v>0</v>
      </c>
      <c r="S18" s="230"/>
      <c r="T18" s="227">
        <f t="shared" si="5"/>
        <v>0</v>
      </c>
      <c r="U18" s="281" t="e">
        <f t="shared" si="6"/>
        <v>#DIV/0!</v>
      </c>
      <c r="V18" s="282"/>
    </row>
    <row r="19" ht="22" customHeight="1" spans="1:22">
      <c r="A19" s="226" t="s">
        <v>235</v>
      </c>
      <c r="B19" s="222">
        <f t="shared" si="0"/>
        <v>0</v>
      </c>
      <c r="C19" s="227"/>
      <c r="D19" s="227"/>
      <c r="E19" s="228"/>
      <c r="F19" s="229">
        <f t="shared" si="1"/>
        <v>0</v>
      </c>
      <c r="G19" s="227"/>
      <c r="H19" s="227"/>
      <c r="I19" s="262"/>
      <c r="J19" s="263">
        <f t="shared" si="2"/>
        <v>0</v>
      </c>
      <c r="K19" s="227"/>
      <c r="L19" s="227"/>
      <c r="M19" s="228"/>
      <c r="N19" s="229">
        <f t="shared" si="3"/>
        <v>0</v>
      </c>
      <c r="O19" s="227"/>
      <c r="P19" s="227"/>
      <c r="Q19" s="262"/>
      <c r="R19" s="280">
        <f t="shared" si="4"/>
        <v>0</v>
      </c>
      <c r="S19" s="227"/>
      <c r="T19" s="227">
        <f t="shared" si="5"/>
        <v>0</v>
      </c>
      <c r="U19" s="281" t="e">
        <f t="shared" si="6"/>
        <v>#DIV/0!</v>
      </c>
      <c r="V19" s="282"/>
    </row>
    <row r="20" ht="22" customHeight="1" spans="1:22">
      <c r="A20" s="226" t="s">
        <v>236</v>
      </c>
      <c r="B20" s="222">
        <f t="shared" si="0"/>
        <v>0</v>
      </c>
      <c r="C20" s="227"/>
      <c r="D20" s="227"/>
      <c r="E20" s="228"/>
      <c r="F20" s="229">
        <f t="shared" si="1"/>
        <v>0</v>
      </c>
      <c r="G20" s="227"/>
      <c r="H20" s="227"/>
      <c r="I20" s="262"/>
      <c r="J20" s="263">
        <f t="shared" si="2"/>
        <v>0</v>
      </c>
      <c r="K20" s="227"/>
      <c r="L20" s="227"/>
      <c r="M20" s="228"/>
      <c r="N20" s="229">
        <f t="shared" si="3"/>
        <v>0</v>
      </c>
      <c r="O20" s="227"/>
      <c r="P20" s="227"/>
      <c r="Q20" s="262"/>
      <c r="R20" s="280">
        <f t="shared" si="4"/>
        <v>0</v>
      </c>
      <c r="S20" s="227"/>
      <c r="T20" s="227">
        <f t="shared" si="5"/>
        <v>0</v>
      </c>
      <c r="U20" s="281" t="e">
        <f t="shared" si="6"/>
        <v>#DIV/0!</v>
      </c>
      <c r="V20" s="282"/>
    </row>
    <row r="21" ht="22" customHeight="1" spans="1:22">
      <c r="A21" s="226" t="s">
        <v>237</v>
      </c>
      <c r="B21" s="222">
        <f t="shared" si="0"/>
        <v>0</v>
      </c>
      <c r="C21" s="227"/>
      <c r="D21" s="227"/>
      <c r="E21" s="228"/>
      <c r="F21" s="229">
        <f t="shared" si="1"/>
        <v>0</v>
      </c>
      <c r="G21" s="227"/>
      <c r="H21" s="227"/>
      <c r="I21" s="262"/>
      <c r="J21" s="263">
        <f t="shared" si="2"/>
        <v>0</v>
      </c>
      <c r="K21" s="227"/>
      <c r="L21" s="227"/>
      <c r="M21" s="228"/>
      <c r="N21" s="229">
        <f t="shared" si="3"/>
        <v>0</v>
      </c>
      <c r="O21" s="227"/>
      <c r="P21" s="227"/>
      <c r="Q21" s="262"/>
      <c r="R21" s="280">
        <f t="shared" si="4"/>
        <v>0</v>
      </c>
      <c r="S21" s="227"/>
      <c r="T21" s="227">
        <f t="shared" si="5"/>
        <v>0</v>
      </c>
      <c r="U21" s="281" t="e">
        <f t="shared" si="6"/>
        <v>#DIV/0!</v>
      </c>
      <c r="V21" s="282"/>
    </row>
    <row r="22" ht="22" customHeight="1" spans="1:22">
      <c r="A22" s="226" t="s">
        <v>238</v>
      </c>
      <c r="B22" s="222">
        <f t="shared" si="0"/>
        <v>0</v>
      </c>
      <c r="C22" s="227"/>
      <c r="D22" s="227"/>
      <c r="E22" s="228"/>
      <c r="F22" s="229">
        <f t="shared" si="1"/>
        <v>0</v>
      </c>
      <c r="G22" s="227"/>
      <c r="H22" s="227"/>
      <c r="I22" s="262"/>
      <c r="J22" s="263">
        <f t="shared" si="2"/>
        <v>0</v>
      </c>
      <c r="K22" s="227"/>
      <c r="L22" s="227"/>
      <c r="M22" s="228"/>
      <c r="N22" s="229">
        <f t="shared" si="3"/>
        <v>0</v>
      </c>
      <c r="O22" s="227"/>
      <c r="P22" s="227"/>
      <c r="Q22" s="262"/>
      <c r="R22" s="280">
        <f t="shared" si="4"/>
        <v>0</v>
      </c>
      <c r="S22" s="227"/>
      <c r="T22" s="227">
        <f t="shared" si="5"/>
        <v>0</v>
      </c>
      <c r="U22" s="281" t="e">
        <f t="shared" si="6"/>
        <v>#DIV/0!</v>
      </c>
      <c r="V22" s="282"/>
    </row>
    <row r="23" ht="22" customHeight="1" spans="1:22">
      <c r="A23" s="226" t="s">
        <v>239</v>
      </c>
      <c r="B23" s="222">
        <f t="shared" si="0"/>
        <v>0</v>
      </c>
      <c r="C23" s="227"/>
      <c r="D23" s="227"/>
      <c r="E23" s="228"/>
      <c r="F23" s="229">
        <f t="shared" si="1"/>
        <v>0</v>
      </c>
      <c r="G23" s="227"/>
      <c r="H23" s="227"/>
      <c r="I23" s="262"/>
      <c r="J23" s="263">
        <f t="shared" si="2"/>
        <v>0</v>
      </c>
      <c r="K23" s="227"/>
      <c r="L23" s="227"/>
      <c r="M23" s="228"/>
      <c r="N23" s="229">
        <f t="shared" si="3"/>
        <v>0</v>
      </c>
      <c r="O23" s="227"/>
      <c r="P23" s="227"/>
      <c r="Q23" s="262"/>
      <c r="R23" s="280">
        <f t="shared" si="4"/>
        <v>0</v>
      </c>
      <c r="S23" s="227"/>
      <c r="T23" s="227">
        <f t="shared" si="5"/>
        <v>0</v>
      </c>
      <c r="U23" s="281" t="e">
        <f t="shared" si="6"/>
        <v>#DIV/0!</v>
      </c>
      <c r="V23" s="282"/>
    </row>
    <row r="24" ht="22" customHeight="1" spans="1:22">
      <c r="A24" s="226" t="s">
        <v>240</v>
      </c>
      <c r="B24" s="222">
        <f t="shared" si="0"/>
        <v>0</v>
      </c>
      <c r="C24" s="230"/>
      <c r="D24" s="230"/>
      <c r="E24" s="231"/>
      <c r="F24" s="229">
        <f t="shared" si="1"/>
        <v>0</v>
      </c>
      <c r="G24" s="230"/>
      <c r="H24" s="230"/>
      <c r="I24" s="264"/>
      <c r="J24" s="263">
        <f t="shared" si="2"/>
        <v>0</v>
      </c>
      <c r="K24" s="230"/>
      <c r="L24" s="230"/>
      <c r="M24" s="231"/>
      <c r="N24" s="229">
        <f t="shared" si="3"/>
        <v>0</v>
      </c>
      <c r="O24" s="230"/>
      <c r="P24" s="230"/>
      <c r="Q24" s="264"/>
      <c r="R24" s="280">
        <f t="shared" si="4"/>
        <v>0</v>
      </c>
      <c r="S24" s="230"/>
      <c r="T24" s="227">
        <f t="shared" si="5"/>
        <v>0</v>
      </c>
      <c r="U24" s="281" t="e">
        <f t="shared" si="6"/>
        <v>#DIV/0!</v>
      </c>
      <c r="V24" s="282"/>
    </row>
    <row r="25" ht="22" customHeight="1" spans="1:22">
      <c r="A25" s="226" t="s">
        <v>241</v>
      </c>
      <c r="B25" s="222">
        <f t="shared" si="0"/>
        <v>0</v>
      </c>
      <c r="C25" s="227"/>
      <c r="D25" s="227"/>
      <c r="E25" s="228"/>
      <c r="F25" s="229">
        <f t="shared" si="1"/>
        <v>0</v>
      </c>
      <c r="G25" s="227"/>
      <c r="H25" s="227"/>
      <c r="I25" s="262"/>
      <c r="J25" s="263">
        <f t="shared" si="2"/>
        <v>0</v>
      </c>
      <c r="K25" s="227"/>
      <c r="L25" s="227"/>
      <c r="M25" s="228"/>
      <c r="N25" s="229">
        <f t="shared" si="3"/>
        <v>0</v>
      </c>
      <c r="O25" s="227"/>
      <c r="P25" s="227"/>
      <c r="Q25" s="262"/>
      <c r="R25" s="280">
        <f t="shared" si="4"/>
        <v>0</v>
      </c>
      <c r="S25" s="227"/>
      <c r="T25" s="227">
        <f t="shared" si="5"/>
        <v>0</v>
      </c>
      <c r="U25" s="281" t="e">
        <f t="shared" si="6"/>
        <v>#DIV/0!</v>
      </c>
      <c r="V25" s="282"/>
    </row>
    <row r="26" ht="30" customHeight="1" spans="1:22">
      <c r="A26" s="232" t="s">
        <v>242</v>
      </c>
      <c r="B26" s="222">
        <f t="shared" si="0"/>
        <v>0</v>
      </c>
      <c r="C26" s="227"/>
      <c r="D26" s="227"/>
      <c r="E26" s="228"/>
      <c r="F26" s="229">
        <f t="shared" si="1"/>
        <v>0</v>
      </c>
      <c r="G26" s="227"/>
      <c r="H26" s="227"/>
      <c r="I26" s="262"/>
      <c r="J26" s="263">
        <f t="shared" si="2"/>
        <v>0</v>
      </c>
      <c r="K26" s="227"/>
      <c r="L26" s="227"/>
      <c r="M26" s="228"/>
      <c r="N26" s="229">
        <f t="shared" si="3"/>
        <v>0</v>
      </c>
      <c r="O26" s="227"/>
      <c r="P26" s="227"/>
      <c r="Q26" s="262"/>
      <c r="R26" s="280">
        <f t="shared" si="4"/>
        <v>0</v>
      </c>
      <c r="S26" s="227"/>
      <c r="T26" s="227">
        <f t="shared" si="5"/>
        <v>0</v>
      </c>
      <c r="U26" s="281" t="e">
        <f t="shared" si="6"/>
        <v>#DIV/0!</v>
      </c>
      <c r="V26" s="282"/>
    </row>
    <row r="27" ht="22" customHeight="1" spans="1:22">
      <c r="A27" s="226" t="s">
        <v>243</v>
      </c>
      <c r="B27" s="222">
        <f t="shared" si="0"/>
        <v>0</v>
      </c>
      <c r="C27" s="227"/>
      <c r="D27" s="227"/>
      <c r="E27" s="228"/>
      <c r="F27" s="229">
        <f t="shared" si="1"/>
        <v>0</v>
      </c>
      <c r="G27" s="227"/>
      <c r="H27" s="227"/>
      <c r="I27" s="262"/>
      <c r="J27" s="263">
        <f t="shared" si="2"/>
        <v>0</v>
      </c>
      <c r="K27" s="227"/>
      <c r="L27" s="227"/>
      <c r="M27" s="228"/>
      <c r="N27" s="229">
        <f t="shared" si="3"/>
        <v>0</v>
      </c>
      <c r="O27" s="227"/>
      <c r="P27" s="227"/>
      <c r="Q27" s="262"/>
      <c r="R27" s="280">
        <f t="shared" si="4"/>
        <v>0</v>
      </c>
      <c r="S27" s="227"/>
      <c r="T27" s="227">
        <f t="shared" si="5"/>
        <v>0</v>
      </c>
      <c r="U27" s="281" t="e">
        <f t="shared" si="6"/>
        <v>#DIV/0!</v>
      </c>
      <c r="V27" s="282"/>
    </row>
    <row r="28" ht="22" customHeight="1" spans="1:22">
      <c r="A28" s="226" t="s">
        <v>244</v>
      </c>
      <c r="B28" s="222">
        <f t="shared" si="0"/>
        <v>0</v>
      </c>
      <c r="C28" s="227"/>
      <c r="D28" s="227"/>
      <c r="E28" s="228"/>
      <c r="F28" s="229">
        <f t="shared" si="1"/>
        <v>0</v>
      </c>
      <c r="G28" s="227"/>
      <c r="H28" s="227"/>
      <c r="I28" s="262"/>
      <c r="J28" s="263">
        <f t="shared" si="2"/>
        <v>0</v>
      </c>
      <c r="K28" s="227"/>
      <c r="L28" s="227"/>
      <c r="M28" s="228"/>
      <c r="N28" s="229">
        <f t="shared" si="3"/>
        <v>0</v>
      </c>
      <c r="O28" s="227"/>
      <c r="P28" s="227"/>
      <c r="Q28" s="262"/>
      <c r="R28" s="280">
        <f t="shared" si="4"/>
        <v>0</v>
      </c>
      <c r="S28" s="227"/>
      <c r="T28" s="227">
        <f t="shared" si="5"/>
        <v>0</v>
      </c>
      <c r="U28" s="281" t="e">
        <f t="shared" si="6"/>
        <v>#DIV/0!</v>
      </c>
      <c r="V28" s="282"/>
    </row>
    <row r="29" ht="22" customHeight="1" spans="1:22">
      <c r="A29" s="226" t="s">
        <v>245</v>
      </c>
      <c r="B29" s="222">
        <f t="shared" si="0"/>
        <v>0</v>
      </c>
      <c r="C29" s="227"/>
      <c r="D29" s="227"/>
      <c r="E29" s="228"/>
      <c r="F29" s="229">
        <f t="shared" si="1"/>
        <v>0</v>
      </c>
      <c r="G29" s="227"/>
      <c r="H29" s="227"/>
      <c r="I29" s="262"/>
      <c r="J29" s="263">
        <f t="shared" si="2"/>
        <v>0</v>
      </c>
      <c r="K29" s="227"/>
      <c r="L29" s="227"/>
      <c r="M29" s="228"/>
      <c r="N29" s="229">
        <f t="shared" si="3"/>
        <v>0</v>
      </c>
      <c r="O29" s="227"/>
      <c r="P29" s="227"/>
      <c r="Q29" s="262"/>
      <c r="R29" s="280">
        <f t="shared" si="4"/>
        <v>0</v>
      </c>
      <c r="S29" s="227"/>
      <c r="T29" s="227">
        <f t="shared" si="5"/>
        <v>0</v>
      </c>
      <c r="U29" s="281" t="e">
        <f t="shared" si="6"/>
        <v>#DIV/0!</v>
      </c>
      <c r="V29" s="282"/>
    </row>
    <row r="30" ht="22" customHeight="1" spans="1:22">
      <c r="A30" s="226" t="s">
        <v>159</v>
      </c>
      <c r="B30" s="222">
        <f t="shared" si="0"/>
        <v>0</v>
      </c>
      <c r="C30" s="227"/>
      <c r="D30" s="227"/>
      <c r="E30" s="228"/>
      <c r="F30" s="229">
        <f t="shared" si="1"/>
        <v>0</v>
      </c>
      <c r="G30" s="227"/>
      <c r="H30" s="227"/>
      <c r="I30" s="262"/>
      <c r="J30" s="263">
        <f t="shared" si="2"/>
        <v>0</v>
      </c>
      <c r="K30" s="227"/>
      <c r="L30" s="227"/>
      <c r="M30" s="228"/>
      <c r="N30" s="229">
        <f t="shared" si="3"/>
        <v>0</v>
      </c>
      <c r="O30" s="227"/>
      <c r="P30" s="227"/>
      <c r="Q30" s="262"/>
      <c r="R30" s="280">
        <f t="shared" si="4"/>
        <v>0</v>
      </c>
      <c r="S30" s="227"/>
      <c r="T30" s="227">
        <f t="shared" si="5"/>
        <v>0</v>
      </c>
      <c r="U30" s="281" t="e">
        <f t="shared" si="6"/>
        <v>#DIV/0!</v>
      </c>
      <c r="V30" s="282"/>
    </row>
    <row r="31" ht="22" customHeight="1" spans="1:22">
      <c r="A31" s="226" t="s">
        <v>246</v>
      </c>
      <c r="B31" s="222">
        <f t="shared" si="0"/>
        <v>0</v>
      </c>
      <c r="C31" s="227"/>
      <c r="D31" s="227"/>
      <c r="E31" s="228"/>
      <c r="F31" s="229">
        <f t="shared" si="1"/>
        <v>0</v>
      </c>
      <c r="G31" s="227"/>
      <c r="H31" s="227"/>
      <c r="I31" s="262"/>
      <c r="J31" s="263">
        <f t="shared" si="2"/>
        <v>0</v>
      </c>
      <c r="K31" s="227"/>
      <c r="L31" s="227"/>
      <c r="M31" s="228"/>
      <c r="N31" s="229">
        <f t="shared" si="3"/>
        <v>0</v>
      </c>
      <c r="O31" s="227"/>
      <c r="P31" s="227"/>
      <c r="Q31" s="262"/>
      <c r="R31" s="280">
        <f t="shared" si="4"/>
        <v>0</v>
      </c>
      <c r="S31" s="227"/>
      <c r="T31" s="227">
        <f t="shared" si="5"/>
        <v>0</v>
      </c>
      <c r="U31" s="281" t="e">
        <f t="shared" si="6"/>
        <v>#DIV/0!</v>
      </c>
      <c r="V31" s="282"/>
    </row>
    <row r="32" ht="22" customHeight="1" spans="1:22">
      <c r="A32" s="226" t="s">
        <v>247</v>
      </c>
      <c r="B32" s="222">
        <f t="shared" si="0"/>
        <v>0</v>
      </c>
      <c r="C32" s="227"/>
      <c r="D32" s="227"/>
      <c r="E32" s="228"/>
      <c r="F32" s="229">
        <f t="shared" si="1"/>
        <v>0</v>
      </c>
      <c r="G32" s="227"/>
      <c r="H32" s="227"/>
      <c r="I32" s="262"/>
      <c r="J32" s="263">
        <f t="shared" si="2"/>
        <v>0</v>
      </c>
      <c r="K32" s="227"/>
      <c r="L32" s="227"/>
      <c r="M32" s="228"/>
      <c r="N32" s="229">
        <f t="shared" si="3"/>
        <v>0</v>
      </c>
      <c r="O32" s="227"/>
      <c r="P32" s="227"/>
      <c r="Q32" s="262"/>
      <c r="R32" s="280">
        <f t="shared" si="4"/>
        <v>0</v>
      </c>
      <c r="S32" s="227"/>
      <c r="T32" s="227">
        <f t="shared" si="5"/>
        <v>0</v>
      </c>
      <c r="U32" s="281" t="e">
        <f t="shared" si="6"/>
        <v>#DIV/0!</v>
      </c>
      <c r="V32" s="283"/>
    </row>
    <row r="33" ht="22" customHeight="1" spans="1:22">
      <c r="A33" s="226" t="s">
        <v>248</v>
      </c>
      <c r="B33" s="222">
        <f t="shared" si="0"/>
        <v>0</v>
      </c>
      <c r="C33" s="227"/>
      <c r="D33" s="227"/>
      <c r="E33" s="228"/>
      <c r="F33" s="229">
        <f t="shared" si="1"/>
        <v>0</v>
      </c>
      <c r="G33" s="227"/>
      <c r="H33" s="227"/>
      <c r="I33" s="262"/>
      <c r="J33" s="263">
        <f t="shared" si="2"/>
        <v>0</v>
      </c>
      <c r="K33" s="227"/>
      <c r="L33" s="227"/>
      <c r="M33" s="228"/>
      <c r="N33" s="229">
        <f t="shared" si="3"/>
        <v>0</v>
      </c>
      <c r="O33" s="227"/>
      <c r="P33" s="227"/>
      <c r="Q33" s="262"/>
      <c r="R33" s="280">
        <f t="shared" si="4"/>
        <v>0</v>
      </c>
      <c r="S33" s="227"/>
      <c r="T33" s="227">
        <f t="shared" si="5"/>
        <v>0</v>
      </c>
      <c r="U33" s="281" t="e">
        <f t="shared" si="6"/>
        <v>#DIV/0!</v>
      </c>
      <c r="V33" s="282"/>
    </row>
    <row r="34" ht="22" customHeight="1" spans="1:22">
      <c r="A34" s="226" t="s">
        <v>249</v>
      </c>
      <c r="B34" s="222">
        <f t="shared" si="0"/>
        <v>0</v>
      </c>
      <c r="C34" s="230"/>
      <c r="D34" s="230"/>
      <c r="E34" s="231"/>
      <c r="F34" s="229">
        <f t="shared" si="1"/>
        <v>0</v>
      </c>
      <c r="G34" s="230"/>
      <c r="H34" s="230"/>
      <c r="I34" s="264"/>
      <c r="J34" s="263">
        <f t="shared" si="2"/>
        <v>0</v>
      </c>
      <c r="K34" s="230"/>
      <c r="L34" s="230"/>
      <c r="M34" s="231"/>
      <c r="N34" s="229">
        <f t="shared" si="3"/>
        <v>0</v>
      </c>
      <c r="O34" s="230"/>
      <c r="P34" s="230"/>
      <c r="Q34" s="264"/>
      <c r="R34" s="280">
        <f t="shared" si="4"/>
        <v>0</v>
      </c>
      <c r="S34" s="230"/>
      <c r="T34" s="227">
        <f t="shared" si="5"/>
        <v>0</v>
      </c>
      <c r="U34" s="281" t="e">
        <f t="shared" si="6"/>
        <v>#DIV/0!</v>
      </c>
      <c r="V34" s="282"/>
    </row>
    <row r="35" ht="22" customHeight="1" spans="1:22">
      <c r="A35" s="226" t="s">
        <v>250</v>
      </c>
      <c r="B35" s="222">
        <f t="shared" si="0"/>
        <v>0</v>
      </c>
      <c r="C35" s="227"/>
      <c r="D35" s="227"/>
      <c r="E35" s="228"/>
      <c r="F35" s="229">
        <f t="shared" si="1"/>
        <v>0</v>
      </c>
      <c r="G35" s="227"/>
      <c r="H35" s="227"/>
      <c r="I35" s="262"/>
      <c r="J35" s="263">
        <f t="shared" si="2"/>
        <v>0</v>
      </c>
      <c r="K35" s="227"/>
      <c r="L35" s="227"/>
      <c r="M35" s="228"/>
      <c r="N35" s="229">
        <f t="shared" si="3"/>
        <v>0</v>
      </c>
      <c r="O35" s="227"/>
      <c r="P35" s="227"/>
      <c r="Q35" s="262"/>
      <c r="R35" s="280">
        <f t="shared" si="4"/>
        <v>0</v>
      </c>
      <c r="S35" s="227"/>
      <c r="T35" s="227">
        <f t="shared" si="5"/>
        <v>0</v>
      </c>
      <c r="U35" s="281" t="e">
        <f t="shared" si="6"/>
        <v>#DIV/0!</v>
      </c>
      <c r="V35" s="282"/>
    </row>
    <row r="36" ht="22" customHeight="1" spans="1:22">
      <c r="A36" s="226" t="s">
        <v>251</v>
      </c>
      <c r="B36" s="222">
        <f t="shared" si="0"/>
        <v>0</v>
      </c>
      <c r="C36" s="227"/>
      <c r="D36" s="227"/>
      <c r="E36" s="228"/>
      <c r="F36" s="229">
        <f t="shared" si="1"/>
        <v>0</v>
      </c>
      <c r="G36" s="227"/>
      <c r="H36" s="227"/>
      <c r="I36" s="262"/>
      <c r="J36" s="263">
        <f t="shared" si="2"/>
        <v>0</v>
      </c>
      <c r="K36" s="227"/>
      <c r="L36" s="227"/>
      <c r="M36" s="228"/>
      <c r="N36" s="229">
        <f t="shared" si="3"/>
        <v>0</v>
      </c>
      <c r="O36" s="227"/>
      <c r="P36" s="227"/>
      <c r="Q36" s="262"/>
      <c r="R36" s="280">
        <f t="shared" si="4"/>
        <v>0</v>
      </c>
      <c r="S36" s="227"/>
      <c r="T36" s="227">
        <f t="shared" si="5"/>
        <v>0</v>
      </c>
      <c r="U36" s="281" t="e">
        <f t="shared" si="6"/>
        <v>#DIV/0!</v>
      </c>
      <c r="V36" s="282"/>
    </row>
    <row r="37" ht="22" customHeight="1" spans="1:22">
      <c r="A37" s="226" t="s">
        <v>106</v>
      </c>
      <c r="B37" s="222">
        <f t="shared" si="0"/>
        <v>0</v>
      </c>
      <c r="C37" s="230"/>
      <c r="D37" s="230"/>
      <c r="E37" s="231"/>
      <c r="F37" s="229">
        <f t="shared" si="1"/>
        <v>0</v>
      </c>
      <c r="G37" s="230"/>
      <c r="H37" s="230"/>
      <c r="I37" s="264"/>
      <c r="J37" s="263">
        <f t="shared" si="2"/>
        <v>0</v>
      </c>
      <c r="K37" s="230"/>
      <c r="L37" s="230"/>
      <c r="M37" s="231"/>
      <c r="N37" s="229">
        <f t="shared" si="3"/>
        <v>0</v>
      </c>
      <c r="O37" s="230"/>
      <c r="P37" s="230"/>
      <c r="Q37" s="264"/>
      <c r="R37" s="280">
        <f t="shared" si="4"/>
        <v>0</v>
      </c>
      <c r="S37" s="230"/>
      <c r="T37" s="227">
        <f t="shared" si="5"/>
        <v>0</v>
      </c>
      <c r="U37" s="281" t="e">
        <f t="shared" si="6"/>
        <v>#DIV/0!</v>
      </c>
      <c r="V37" s="282"/>
    </row>
    <row r="38" ht="22" customHeight="1" spans="1:22">
      <c r="A38" s="226" t="s">
        <v>252</v>
      </c>
      <c r="B38" s="222">
        <f t="shared" ref="B38:B56" si="7">SUM(C38:E38)</f>
        <v>0</v>
      </c>
      <c r="C38" s="227"/>
      <c r="D38" s="227"/>
      <c r="E38" s="228"/>
      <c r="F38" s="229">
        <f t="shared" si="1"/>
        <v>0</v>
      </c>
      <c r="G38" s="227"/>
      <c r="H38" s="227"/>
      <c r="I38" s="262"/>
      <c r="J38" s="263">
        <f t="shared" si="2"/>
        <v>0</v>
      </c>
      <c r="K38" s="227"/>
      <c r="L38" s="227"/>
      <c r="M38" s="228"/>
      <c r="N38" s="229">
        <f t="shared" si="3"/>
        <v>0</v>
      </c>
      <c r="O38" s="227"/>
      <c r="P38" s="227"/>
      <c r="Q38" s="262"/>
      <c r="R38" s="280">
        <f t="shared" si="4"/>
        <v>0</v>
      </c>
      <c r="S38" s="227"/>
      <c r="T38" s="227">
        <f t="shared" si="5"/>
        <v>0</v>
      </c>
      <c r="U38" s="281" t="e">
        <f t="shared" si="6"/>
        <v>#DIV/0!</v>
      </c>
      <c r="V38" s="282"/>
    </row>
    <row r="39" ht="22" customHeight="1" spans="1:22">
      <c r="A39" s="226" t="s">
        <v>253</v>
      </c>
      <c r="B39" s="222">
        <f t="shared" si="7"/>
        <v>0</v>
      </c>
      <c r="C39" s="227"/>
      <c r="D39" s="227"/>
      <c r="E39" s="228"/>
      <c r="F39" s="229">
        <f t="shared" ref="F39:F56" si="8">SUM(G39:I39)</f>
        <v>0</v>
      </c>
      <c r="G39" s="227"/>
      <c r="H39" s="227"/>
      <c r="I39" s="262"/>
      <c r="J39" s="263">
        <f t="shared" ref="J39:J56" si="9">SUM(K39:M39)</f>
        <v>0</v>
      </c>
      <c r="K39" s="227"/>
      <c r="L39" s="227"/>
      <c r="M39" s="228"/>
      <c r="N39" s="229">
        <f t="shared" ref="N39:N56" si="10">SUM(O39:Q39)</f>
        <v>0</v>
      </c>
      <c r="O39" s="227"/>
      <c r="P39" s="227"/>
      <c r="Q39" s="262"/>
      <c r="R39" s="280">
        <f t="shared" ref="R39:R55" si="11">B39+F39+J39+N39</f>
        <v>0</v>
      </c>
      <c r="S39" s="227"/>
      <c r="T39" s="227">
        <f t="shared" ref="T39:T56" si="12">R39-S39</f>
        <v>0</v>
      </c>
      <c r="U39" s="281" t="e">
        <f t="shared" ref="U39:U56" si="13">T39/R39</f>
        <v>#DIV/0!</v>
      </c>
      <c r="V39" s="282"/>
    </row>
    <row r="40" ht="22" customHeight="1" spans="1:22">
      <c r="A40" s="226" t="s">
        <v>254</v>
      </c>
      <c r="B40" s="222">
        <f t="shared" si="7"/>
        <v>0</v>
      </c>
      <c r="C40" s="227"/>
      <c r="D40" s="227"/>
      <c r="E40" s="228"/>
      <c r="F40" s="229">
        <f t="shared" si="8"/>
        <v>0</v>
      </c>
      <c r="G40" s="227"/>
      <c r="H40" s="227"/>
      <c r="I40" s="262"/>
      <c r="J40" s="263">
        <f t="shared" si="9"/>
        <v>0</v>
      </c>
      <c r="K40" s="227"/>
      <c r="L40" s="227"/>
      <c r="M40" s="228"/>
      <c r="N40" s="229">
        <f t="shared" si="10"/>
        <v>0</v>
      </c>
      <c r="O40" s="227"/>
      <c r="P40" s="227"/>
      <c r="Q40" s="262"/>
      <c r="R40" s="280">
        <f t="shared" si="11"/>
        <v>0</v>
      </c>
      <c r="S40" s="227"/>
      <c r="T40" s="227">
        <f t="shared" si="12"/>
        <v>0</v>
      </c>
      <c r="U40" s="281" t="e">
        <f t="shared" si="13"/>
        <v>#DIV/0!</v>
      </c>
      <c r="V40" s="282"/>
    </row>
    <row r="41" ht="22" customHeight="1" spans="1:22">
      <c r="A41" s="226" t="s">
        <v>255</v>
      </c>
      <c r="B41" s="222">
        <f t="shared" si="7"/>
        <v>0</v>
      </c>
      <c r="C41" s="227"/>
      <c r="D41" s="227"/>
      <c r="E41" s="228"/>
      <c r="F41" s="229">
        <f t="shared" si="8"/>
        <v>0</v>
      </c>
      <c r="G41" s="227"/>
      <c r="H41" s="227"/>
      <c r="I41" s="262"/>
      <c r="J41" s="263">
        <f t="shared" si="9"/>
        <v>0</v>
      </c>
      <c r="K41" s="227"/>
      <c r="L41" s="227"/>
      <c r="M41" s="228"/>
      <c r="N41" s="229">
        <f t="shared" si="10"/>
        <v>0</v>
      </c>
      <c r="O41" s="227"/>
      <c r="P41" s="227"/>
      <c r="Q41" s="262"/>
      <c r="R41" s="280">
        <f t="shared" si="11"/>
        <v>0</v>
      </c>
      <c r="S41" s="227"/>
      <c r="T41" s="227">
        <f t="shared" si="12"/>
        <v>0</v>
      </c>
      <c r="U41" s="281" t="e">
        <f t="shared" si="13"/>
        <v>#DIV/0!</v>
      </c>
      <c r="V41" s="283"/>
    </row>
    <row r="42" ht="22" customHeight="1" spans="1:22">
      <c r="A42" s="226" t="s">
        <v>256</v>
      </c>
      <c r="B42" s="222">
        <f t="shared" si="7"/>
        <v>0</v>
      </c>
      <c r="C42" s="227"/>
      <c r="D42" s="227"/>
      <c r="E42" s="228"/>
      <c r="F42" s="229">
        <f t="shared" si="8"/>
        <v>0</v>
      </c>
      <c r="G42" s="227"/>
      <c r="H42" s="227"/>
      <c r="I42" s="262"/>
      <c r="J42" s="263">
        <f t="shared" si="9"/>
        <v>0</v>
      </c>
      <c r="K42" s="227"/>
      <c r="L42" s="227"/>
      <c r="M42" s="228"/>
      <c r="N42" s="229">
        <f t="shared" si="10"/>
        <v>0</v>
      </c>
      <c r="O42" s="227"/>
      <c r="P42" s="227"/>
      <c r="Q42" s="262"/>
      <c r="R42" s="280">
        <f t="shared" si="11"/>
        <v>0</v>
      </c>
      <c r="S42" s="227"/>
      <c r="T42" s="227">
        <f t="shared" si="12"/>
        <v>0</v>
      </c>
      <c r="U42" s="281" t="e">
        <f t="shared" si="13"/>
        <v>#DIV/0!</v>
      </c>
      <c r="V42" s="282"/>
    </row>
    <row r="43" ht="27" customHeight="1" spans="1:22">
      <c r="A43" s="232" t="s">
        <v>257</v>
      </c>
      <c r="B43" s="222">
        <f t="shared" si="7"/>
        <v>0</v>
      </c>
      <c r="C43" s="230"/>
      <c r="D43" s="230"/>
      <c r="E43" s="231"/>
      <c r="F43" s="229">
        <f t="shared" si="8"/>
        <v>0</v>
      </c>
      <c r="G43" s="230"/>
      <c r="H43" s="230"/>
      <c r="I43" s="264"/>
      <c r="J43" s="263">
        <f t="shared" si="9"/>
        <v>0</v>
      </c>
      <c r="K43" s="230"/>
      <c r="L43" s="230"/>
      <c r="M43" s="231"/>
      <c r="N43" s="229">
        <f t="shared" si="10"/>
        <v>0</v>
      </c>
      <c r="O43" s="230"/>
      <c r="P43" s="230"/>
      <c r="Q43" s="264"/>
      <c r="R43" s="280">
        <f t="shared" si="11"/>
        <v>0</v>
      </c>
      <c r="S43" s="230"/>
      <c r="T43" s="227">
        <f t="shared" si="12"/>
        <v>0</v>
      </c>
      <c r="U43" s="281" t="e">
        <f t="shared" si="13"/>
        <v>#DIV/0!</v>
      </c>
      <c r="V43" s="282"/>
    </row>
    <row r="44" ht="22" customHeight="1" spans="1:22">
      <c r="A44" s="226" t="s">
        <v>258</v>
      </c>
      <c r="B44" s="222">
        <f t="shared" si="7"/>
        <v>0</v>
      </c>
      <c r="C44" s="227"/>
      <c r="D44" s="227"/>
      <c r="E44" s="228"/>
      <c r="F44" s="229">
        <f t="shared" si="8"/>
        <v>0</v>
      </c>
      <c r="G44" s="227"/>
      <c r="H44" s="227"/>
      <c r="I44" s="262"/>
      <c r="J44" s="263">
        <f t="shared" si="9"/>
        <v>0</v>
      </c>
      <c r="K44" s="227"/>
      <c r="L44" s="227"/>
      <c r="M44" s="228"/>
      <c r="N44" s="229">
        <f t="shared" si="10"/>
        <v>0</v>
      </c>
      <c r="O44" s="227"/>
      <c r="P44" s="227"/>
      <c r="Q44" s="262"/>
      <c r="R44" s="280">
        <f t="shared" si="11"/>
        <v>0</v>
      </c>
      <c r="S44" s="227"/>
      <c r="T44" s="227">
        <f t="shared" si="12"/>
        <v>0</v>
      </c>
      <c r="U44" s="281" t="e">
        <f t="shared" si="13"/>
        <v>#DIV/0!</v>
      </c>
      <c r="V44" s="282"/>
    </row>
    <row r="45" ht="39" customHeight="1" spans="1:22">
      <c r="A45" s="232" t="s">
        <v>259</v>
      </c>
      <c r="B45" s="222">
        <f t="shared" si="7"/>
        <v>0</v>
      </c>
      <c r="C45" s="227"/>
      <c r="D45" s="227"/>
      <c r="E45" s="228"/>
      <c r="F45" s="229">
        <f t="shared" si="8"/>
        <v>0</v>
      </c>
      <c r="G45" s="227"/>
      <c r="H45" s="227"/>
      <c r="I45" s="262"/>
      <c r="J45" s="263">
        <f t="shared" si="9"/>
        <v>0</v>
      </c>
      <c r="K45" s="227"/>
      <c r="L45" s="227"/>
      <c r="M45" s="228"/>
      <c r="N45" s="229">
        <f t="shared" si="10"/>
        <v>0</v>
      </c>
      <c r="O45" s="227"/>
      <c r="P45" s="227"/>
      <c r="Q45" s="262"/>
      <c r="R45" s="280">
        <f t="shared" si="11"/>
        <v>0</v>
      </c>
      <c r="S45" s="227"/>
      <c r="T45" s="227">
        <f t="shared" si="12"/>
        <v>0</v>
      </c>
      <c r="U45" s="281" t="e">
        <f t="shared" si="13"/>
        <v>#DIV/0!</v>
      </c>
      <c r="V45" s="282"/>
    </row>
    <row r="46" ht="22" customHeight="1" spans="1:22">
      <c r="A46" s="226" t="s">
        <v>260</v>
      </c>
      <c r="B46" s="222">
        <f t="shared" si="7"/>
        <v>0</v>
      </c>
      <c r="C46" s="227"/>
      <c r="D46" s="227"/>
      <c r="E46" s="228"/>
      <c r="F46" s="229">
        <f t="shared" si="8"/>
        <v>0</v>
      </c>
      <c r="G46" s="227"/>
      <c r="H46" s="227"/>
      <c r="I46" s="262"/>
      <c r="J46" s="263">
        <f t="shared" si="9"/>
        <v>0</v>
      </c>
      <c r="K46" s="227"/>
      <c r="L46" s="227"/>
      <c r="M46" s="228"/>
      <c r="N46" s="229">
        <f t="shared" si="10"/>
        <v>0</v>
      </c>
      <c r="O46" s="227"/>
      <c r="P46" s="227"/>
      <c r="Q46" s="262"/>
      <c r="R46" s="280">
        <f t="shared" si="11"/>
        <v>0</v>
      </c>
      <c r="S46" s="227"/>
      <c r="T46" s="227">
        <f t="shared" si="12"/>
        <v>0</v>
      </c>
      <c r="U46" s="281" t="e">
        <f t="shared" si="13"/>
        <v>#DIV/0!</v>
      </c>
      <c r="V46" s="282"/>
    </row>
    <row r="47" ht="22" customHeight="1" spans="1:22">
      <c r="A47" s="226" t="s">
        <v>261</v>
      </c>
      <c r="B47" s="222">
        <f t="shared" si="7"/>
        <v>0</v>
      </c>
      <c r="C47" s="230"/>
      <c r="D47" s="230"/>
      <c r="E47" s="231"/>
      <c r="F47" s="229">
        <f t="shared" si="8"/>
        <v>0</v>
      </c>
      <c r="G47" s="230"/>
      <c r="H47" s="230"/>
      <c r="I47" s="264"/>
      <c r="J47" s="263">
        <f t="shared" si="9"/>
        <v>0</v>
      </c>
      <c r="K47" s="230"/>
      <c r="L47" s="230"/>
      <c r="M47" s="231"/>
      <c r="N47" s="229">
        <f t="shared" si="10"/>
        <v>0</v>
      </c>
      <c r="O47" s="230"/>
      <c r="P47" s="230"/>
      <c r="Q47" s="264"/>
      <c r="R47" s="280">
        <f t="shared" si="11"/>
        <v>0</v>
      </c>
      <c r="S47" s="230"/>
      <c r="T47" s="227">
        <f t="shared" si="12"/>
        <v>0</v>
      </c>
      <c r="U47" s="281" t="e">
        <f t="shared" si="13"/>
        <v>#DIV/0!</v>
      </c>
      <c r="V47" s="282"/>
    </row>
    <row r="48" ht="22" customHeight="1" spans="1:22">
      <c r="A48" s="226" t="s">
        <v>262</v>
      </c>
      <c r="B48" s="222">
        <f t="shared" si="7"/>
        <v>0</v>
      </c>
      <c r="C48" s="227"/>
      <c r="D48" s="227"/>
      <c r="E48" s="228"/>
      <c r="F48" s="229">
        <f t="shared" si="8"/>
        <v>0</v>
      </c>
      <c r="G48" s="227"/>
      <c r="H48" s="227"/>
      <c r="I48" s="262"/>
      <c r="J48" s="263">
        <f t="shared" si="9"/>
        <v>0</v>
      </c>
      <c r="K48" s="227"/>
      <c r="L48" s="227"/>
      <c r="M48" s="228"/>
      <c r="N48" s="229">
        <f t="shared" si="10"/>
        <v>0</v>
      </c>
      <c r="O48" s="227"/>
      <c r="P48" s="227"/>
      <c r="Q48" s="262"/>
      <c r="R48" s="280">
        <f t="shared" si="11"/>
        <v>0</v>
      </c>
      <c r="S48" s="227"/>
      <c r="T48" s="227">
        <f t="shared" si="12"/>
        <v>0</v>
      </c>
      <c r="U48" s="281" t="e">
        <f t="shared" si="13"/>
        <v>#DIV/0!</v>
      </c>
      <c r="V48" s="282"/>
    </row>
    <row r="49" ht="22" customHeight="1" spans="1:22">
      <c r="A49" s="226" t="s">
        <v>263</v>
      </c>
      <c r="B49" s="222">
        <f t="shared" si="7"/>
        <v>0</v>
      </c>
      <c r="C49" s="227"/>
      <c r="D49" s="227"/>
      <c r="E49" s="228"/>
      <c r="F49" s="229">
        <f t="shared" si="8"/>
        <v>0</v>
      </c>
      <c r="G49" s="227"/>
      <c r="H49" s="227"/>
      <c r="I49" s="262"/>
      <c r="J49" s="263">
        <f t="shared" si="9"/>
        <v>0</v>
      </c>
      <c r="K49" s="227"/>
      <c r="L49" s="227"/>
      <c r="M49" s="228"/>
      <c r="N49" s="229">
        <f t="shared" si="10"/>
        <v>0</v>
      </c>
      <c r="O49" s="227"/>
      <c r="P49" s="227"/>
      <c r="Q49" s="262"/>
      <c r="R49" s="280">
        <f t="shared" si="11"/>
        <v>0</v>
      </c>
      <c r="S49" s="227"/>
      <c r="T49" s="227">
        <f t="shared" si="12"/>
        <v>0</v>
      </c>
      <c r="U49" s="281" t="e">
        <f t="shared" si="13"/>
        <v>#DIV/0!</v>
      </c>
      <c r="V49" s="282"/>
    </row>
    <row r="50" ht="22" customHeight="1" spans="1:22">
      <c r="A50" s="226" t="s">
        <v>264</v>
      </c>
      <c r="B50" s="222">
        <f t="shared" si="7"/>
        <v>0</v>
      </c>
      <c r="C50" s="227"/>
      <c r="D50" s="227"/>
      <c r="E50" s="228"/>
      <c r="F50" s="229">
        <f t="shared" si="8"/>
        <v>0</v>
      </c>
      <c r="G50" s="227"/>
      <c r="H50" s="227"/>
      <c r="I50" s="262"/>
      <c r="J50" s="263">
        <f t="shared" si="9"/>
        <v>0</v>
      </c>
      <c r="K50" s="227"/>
      <c r="L50" s="227"/>
      <c r="M50" s="228"/>
      <c r="N50" s="229">
        <f t="shared" si="10"/>
        <v>0</v>
      </c>
      <c r="O50" s="227"/>
      <c r="P50" s="227"/>
      <c r="Q50" s="262"/>
      <c r="R50" s="280">
        <f t="shared" si="11"/>
        <v>0</v>
      </c>
      <c r="S50" s="227"/>
      <c r="T50" s="227">
        <f t="shared" si="12"/>
        <v>0</v>
      </c>
      <c r="U50" s="281" t="e">
        <f t="shared" si="13"/>
        <v>#DIV/0!</v>
      </c>
      <c r="V50" s="282"/>
    </row>
    <row r="51" ht="22" customHeight="1" spans="1:22">
      <c r="A51" s="226" t="s">
        <v>265</v>
      </c>
      <c r="B51" s="222">
        <f t="shared" si="7"/>
        <v>0</v>
      </c>
      <c r="C51" s="227"/>
      <c r="D51" s="227"/>
      <c r="E51" s="228"/>
      <c r="F51" s="229">
        <f t="shared" si="8"/>
        <v>0</v>
      </c>
      <c r="G51" s="227"/>
      <c r="H51" s="227"/>
      <c r="I51" s="262"/>
      <c r="J51" s="263">
        <f t="shared" si="9"/>
        <v>0</v>
      </c>
      <c r="K51" s="227"/>
      <c r="L51" s="227"/>
      <c r="M51" s="228"/>
      <c r="N51" s="229">
        <f t="shared" si="10"/>
        <v>0</v>
      </c>
      <c r="O51" s="227"/>
      <c r="P51" s="227"/>
      <c r="Q51" s="262"/>
      <c r="R51" s="280">
        <f t="shared" si="11"/>
        <v>0</v>
      </c>
      <c r="S51" s="227"/>
      <c r="T51" s="227">
        <f t="shared" si="12"/>
        <v>0</v>
      </c>
      <c r="U51" s="281" t="e">
        <f t="shared" si="13"/>
        <v>#DIV/0!</v>
      </c>
      <c r="V51" s="282"/>
    </row>
    <row r="52" ht="22" customHeight="1" spans="1:22">
      <c r="A52" s="226" t="s">
        <v>266</v>
      </c>
      <c r="B52" s="222">
        <f t="shared" si="7"/>
        <v>0</v>
      </c>
      <c r="C52" s="227"/>
      <c r="D52" s="227"/>
      <c r="E52" s="228"/>
      <c r="F52" s="229">
        <f t="shared" si="8"/>
        <v>0</v>
      </c>
      <c r="G52" s="227"/>
      <c r="H52" s="227"/>
      <c r="I52" s="262"/>
      <c r="J52" s="263">
        <f t="shared" si="9"/>
        <v>0</v>
      </c>
      <c r="K52" s="227"/>
      <c r="L52" s="227"/>
      <c r="M52" s="228"/>
      <c r="N52" s="229">
        <f t="shared" si="10"/>
        <v>0</v>
      </c>
      <c r="O52" s="227"/>
      <c r="P52" s="227"/>
      <c r="Q52" s="262"/>
      <c r="R52" s="280">
        <f t="shared" si="11"/>
        <v>0</v>
      </c>
      <c r="S52" s="227"/>
      <c r="T52" s="227">
        <f t="shared" si="12"/>
        <v>0</v>
      </c>
      <c r="U52" s="281" t="e">
        <f t="shared" si="13"/>
        <v>#DIV/0!</v>
      </c>
      <c r="V52" s="282"/>
    </row>
    <row r="53" ht="22" customHeight="1" spans="1:22">
      <c r="A53" s="226" t="s">
        <v>267</v>
      </c>
      <c r="B53" s="222">
        <f t="shared" si="7"/>
        <v>0</v>
      </c>
      <c r="C53" s="227"/>
      <c r="D53" s="227"/>
      <c r="E53" s="228"/>
      <c r="F53" s="229">
        <f t="shared" si="8"/>
        <v>0</v>
      </c>
      <c r="G53" s="227"/>
      <c r="H53" s="227"/>
      <c r="I53" s="262"/>
      <c r="J53" s="263">
        <f t="shared" si="9"/>
        <v>0</v>
      </c>
      <c r="K53" s="227"/>
      <c r="L53" s="227"/>
      <c r="M53" s="228"/>
      <c r="N53" s="229">
        <f t="shared" si="10"/>
        <v>0</v>
      </c>
      <c r="O53" s="227"/>
      <c r="P53" s="227"/>
      <c r="Q53" s="262"/>
      <c r="R53" s="280">
        <f t="shared" si="11"/>
        <v>0</v>
      </c>
      <c r="S53" s="248"/>
      <c r="T53" s="227">
        <f t="shared" si="12"/>
        <v>0</v>
      </c>
      <c r="U53" s="281" t="e">
        <f t="shared" si="13"/>
        <v>#DIV/0!</v>
      </c>
      <c r="V53" s="282"/>
    </row>
    <row r="54" ht="22" customHeight="1" spans="1:22">
      <c r="A54" s="226" t="s">
        <v>268</v>
      </c>
      <c r="B54" s="222">
        <f t="shared" si="7"/>
        <v>0</v>
      </c>
      <c r="C54" s="227"/>
      <c r="D54" s="227"/>
      <c r="E54" s="228"/>
      <c r="F54" s="229">
        <f t="shared" si="8"/>
        <v>0</v>
      </c>
      <c r="G54" s="227"/>
      <c r="H54" s="227"/>
      <c r="I54" s="262"/>
      <c r="J54" s="263">
        <f t="shared" si="9"/>
        <v>0</v>
      </c>
      <c r="K54" s="227"/>
      <c r="L54" s="227"/>
      <c r="M54" s="228"/>
      <c r="N54" s="229">
        <f t="shared" si="10"/>
        <v>0</v>
      </c>
      <c r="O54" s="227"/>
      <c r="P54" s="227"/>
      <c r="Q54" s="262"/>
      <c r="R54" s="280">
        <f t="shared" si="11"/>
        <v>0</v>
      </c>
      <c r="S54" s="227"/>
      <c r="T54" s="227">
        <f t="shared" si="12"/>
        <v>0</v>
      </c>
      <c r="U54" s="281" t="e">
        <f t="shared" si="13"/>
        <v>#DIV/0!</v>
      </c>
      <c r="V54" s="282"/>
    </row>
    <row r="55" ht="22" customHeight="1" spans="1:22">
      <c r="A55" s="226" t="s">
        <v>269</v>
      </c>
      <c r="B55" s="222">
        <f t="shared" si="7"/>
        <v>0</v>
      </c>
      <c r="C55" s="227"/>
      <c r="D55" s="227"/>
      <c r="E55" s="228"/>
      <c r="F55" s="229">
        <f t="shared" si="8"/>
        <v>0</v>
      </c>
      <c r="G55" s="227"/>
      <c r="H55" s="227"/>
      <c r="I55" s="262"/>
      <c r="J55" s="263">
        <f t="shared" si="9"/>
        <v>0</v>
      </c>
      <c r="K55" s="227"/>
      <c r="L55" s="227"/>
      <c r="M55" s="228"/>
      <c r="N55" s="229">
        <f t="shared" si="10"/>
        <v>0</v>
      </c>
      <c r="O55" s="227"/>
      <c r="P55" s="227"/>
      <c r="Q55" s="262"/>
      <c r="R55" s="280">
        <f t="shared" si="11"/>
        <v>0</v>
      </c>
      <c r="S55" s="227"/>
      <c r="T55" s="227">
        <f t="shared" si="12"/>
        <v>0</v>
      </c>
      <c r="U55" s="281" t="e">
        <f t="shared" si="13"/>
        <v>#DIV/0!</v>
      </c>
      <c r="V55" s="282"/>
    </row>
    <row r="56" ht="22" customHeight="1" spans="1:22">
      <c r="A56" s="233" t="s">
        <v>109</v>
      </c>
      <c r="B56" s="234">
        <f t="shared" si="7"/>
        <v>0</v>
      </c>
      <c r="C56" s="235">
        <f>SUM(C6:C55)</f>
        <v>0</v>
      </c>
      <c r="D56" s="235">
        <f>SUM(D6:D55)</f>
        <v>0</v>
      </c>
      <c r="E56" s="236">
        <f>SUM(E6:E55)</f>
        <v>0</v>
      </c>
      <c r="F56" s="237">
        <f t="shared" si="8"/>
        <v>0</v>
      </c>
      <c r="G56" s="235">
        <f>SUM(G6:G55)</f>
        <v>0</v>
      </c>
      <c r="H56" s="235">
        <f>SUM(H6:H55)</f>
        <v>0</v>
      </c>
      <c r="I56" s="236">
        <f>SUM(I6:I55)</f>
        <v>0</v>
      </c>
      <c r="J56" s="237">
        <f t="shared" si="9"/>
        <v>0</v>
      </c>
      <c r="K56" s="235">
        <f>SUM(K6:K55)</f>
        <v>0</v>
      </c>
      <c r="L56" s="235">
        <f>SUM(L6:L55)</f>
        <v>0</v>
      </c>
      <c r="M56" s="235">
        <f>SUM(M6:M55)</f>
        <v>0</v>
      </c>
      <c r="N56" s="237">
        <f t="shared" si="10"/>
        <v>0</v>
      </c>
      <c r="O56" s="235">
        <f>SUM(O6:O55)</f>
        <v>0</v>
      </c>
      <c r="P56" s="265">
        <f>SUM(P6:P55)</f>
        <v>0</v>
      </c>
      <c r="Q56" s="235">
        <f>SUM(Q6:Q55)</f>
        <v>0</v>
      </c>
      <c r="R56" s="284">
        <f>SUM(R6:R55)</f>
        <v>0</v>
      </c>
      <c r="S56" s="235"/>
      <c r="T56" s="285">
        <f>SUM(T6:T55)</f>
        <v>0</v>
      </c>
      <c r="U56" s="286" t="e">
        <f t="shared" si="13"/>
        <v>#DIV/0!</v>
      </c>
      <c r="V56" s="287"/>
    </row>
    <row r="57" s="205" customFormat="1" ht="22" customHeight="1" spans="1:22">
      <c r="A57" s="238" t="s">
        <v>194</v>
      </c>
      <c r="B57" s="239"/>
      <c r="C57" s="240"/>
      <c r="D57" s="240"/>
      <c r="E57" s="241"/>
      <c r="F57" s="239"/>
      <c r="G57" s="242"/>
      <c r="H57" s="242"/>
      <c r="I57" s="266"/>
      <c r="J57" s="267"/>
      <c r="K57" s="242"/>
      <c r="L57" s="242"/>
      <c r="M57" s="268"/>
      <c r="N57" s="239"/>
      <c r="O57" s="242"/>
      <c r="P57" s="242"/>
      <c r="Q57" s="266"/>
      <c r="R57" s="288">
        <f ca="1" t="shared" ref="R56:R62" si="14">B57+F57+J57+N57</f>
        <v>0</v>
      </c>
      <c r="S57" s="242"/>
      <c r="T57" s="289">
        <f ca="1" t="shared" ref="T57:T62" si="15">R57-S57</f>
        <v>0</v>
      </c>
      <c r="U57" s="290" t="e">
        <f ca="1" t="shared" ref="U57:U62" si="16">T57/R57</f>
        <v>#DIV/0!</v>
      </c>
      <c r="V57" s="291"/>
    </row>
    <row r="58" s="205" customFormat="1" ht="22" customHeight="1" spans="1:22">
      <c r="A58" s="226" t="s">
        <v>270</v>
      </c>
      <c r="B58" s="229">
        <f>SUM(C58:E58)</f>
        <v>0</v>
      </c>
      <c r="C58" s="243"/>
      <c r="D58" s="243"/>
      <c r="E58" s="244"/>
      <c r="F58" s="229">
        <f>SUM(G58:I58)</f>
        <v>0</v>
      </c>
      <c r="G58" s="227"/>
      <c r="H58" s="227"/>
      <c r="I58" s="262"/>
      <c r="J58" s="263">
        <f>SUM(K58:M58)</f>
        <v>0</v>
      </c>
      <c r="K58" s="227"/>
      <c r="L58" s="227"/>
      <c r="M58" s="228"/>
      <c r="N58" s="229">
        <f>SUM(O58:Q58)</f>
        <v>0</v>
      </c>
      <c r="O58" s="227"/>
      <c r="P58" s="227"/>
      <c r="Q58" s="262"/>
      <c r="R58" s="280">
        <f ca="1" t="shared" si="14"/>
        <v>0</v>
      </c>
      <c r="S58" s="227"/>
      <c r="T58" s="292">
        <f ca="1" t="shared" si="15"/>
        <v>0</v>
      </c>
      <c r="U58" s="293" t="e">
        <f ca="1" t="shared" si="16"/>
        <v>#DIV/0!</v>
      </c>
      <c r="V58" s="282"/>
    </row>
    <row r="59" ht="28" customHeight="1" spans="1:22">
      <c r="A59" s="245" t="s">
        <v>271</v>
      </c>
      <c r="B59" s="229">
        <f>SUM(C59:E59)</f>
        <v>0</v>
      </c>
      <c r="C59" s="246"/>
      <c r="D59" s="246"/>
      <c r="E59" s="247"/>
      <c r="F59" s="229">
        <f>SUM(G59:I59)</f>
        <v>0</v>
      </c>
      <c r="G59" s="248"/>
      <c r="H59" s="248"/>
      <c r="I59" s="269"/>
      <c r="J59" s="263">
        <f>SUM(K59:M59)</f>
        <v>0</v>
      </c>
      <c r="K59" s="248"/>
      <c r="L59" s="248"/>
      <c r="M59" s="270"/>
      <c r="N59" s="229">
        <f>SUM(O59:Q59)</f>
        <v>0</v>
      </c>
      <c r="O59" s="248"/>
      <c r="P59" s="248"/>
      <c r="Q59" s="269"/>
      <c r="R59" s="280">
        <f ca="1" t="shared" si="14"/>
        <v>0</v>
      </c>
      <c r="S59" s="248"/>
      <c r="T59" s="292">
        <f ca="1" t="shared" si="15"/>
        <v>0</v>
      </c>
      <c r="U59" s="281" t="e">
        <f ca="1" t="shared" si="16"/>
        <v>#DIV/0!</v>
      </c>
      <c r="V59" s="283"/>
    </row>
    <row r="60" ht="31" customHeight="1" spans="1:22">
      <c r="A60" s="249" t="s">
        <v>272</v>
      </c>
      <c r="B60" s="229">
        <f>SUM(C60:E60)</f>
        <v>0</v>
      </c>
      <c r="C60" s="250"/>
      <c r="D60" s="250"/>
      <c r="E60" s="251"/>
      <c r="F60" s="229">
        <f>SUM(G60:I60)</f>
        <v>0</v>
      </c>
      <c r="G60" s="252"/>
      <c r="H60" s="252"/>
      <c r="I60" s="271"/>
      <c r="J60" s="263">
        <f>SUM(K60:M60)</f>
        <v>0</v>
      </c>
      <c r="K60" s="252"/>
      <c r="L60" s="252"/>
      <c r="M60" s="272"/>
      <c r="N60" s="229">
        <f>SUM(O60:Q60)</f>
        <v>0</v>
      </c>
      <c r="O60" s="252"/>
      <c r="P60" s="252"/>
      <c r="Q60" s="271"/>
      <c r="R60" s="280">
        <f ca="1" t="shared" si="14"/>
        <v>0</v>
      </c>
      <c r="S60" s="294"/>
      <c r="T60" s="292">
        <f ca="1" t="shared" si="15"/>
        <v>0</v>
      </c>
      <c r="U60" s="293" t="e">
        <f ca="1" t="shared" si="16"/>
        <v>#DIV/0!</v>
      </c>
      <c r="V60" s="295"/>
    </row>
    <row r="61" ht="31" customHeight="1" spans="1:22">
      <c r="A61" s="249" t="s">
        <v>273</v>
      </c>
      <c r="B61" s="229">
        <f>SUM(C61:E61)</f>
        <v>0</v>
      </c>
      <c r="C61" s="250"/>
      <c r="D61" s="250"/>
      <c r="E61" s="251"/>
      <c r="F61" s="229">
        <f>SUM(G61:I61)</f>
        <v>0</v>
      </c>
      <c r="G61" s="252"/>
      <c r="H61" s="252"/>
      <c r="I61" s="271"/>
      <c r="J61" s="263">
        <f>SUM(K61:M61)</f>
        <v>0</v>
      </c>
      <c r="K61" s="252"/>
      <c r="L61" s="252"/>
      <c r="M61" s="272"/>
      <c r="N61" s="229">
        <f>SUM(O61:Q61)</f>
        <v>0</v>
      </c>
      <c r="O61" s="252"/>
      <c r="P61" s="252"/>
      <c r="Q61" s="271"/>
      <c r="R61" s="280">
        <f ca="1" t="shared" si="14"/>
        <v>0</v>
      </c>
      <c r="S61" s="294"/>
      <c r="T61" s="292">
        <f ca="1" t="shared" si="15"/>
        <v>0</v>
      </c>
      <c r="U61" s="281" t="e">
        <f ca="1" t="shared" si="16"/>
        <v>#DIV/0!</v>
      </c>
      <c r="V61" s="295"/>
    </row>
    <row r="62" ht="22" customHeight="1" spans="1:22">
      <c r="A62" s="253" t="s">
        <v>109</v>
      </c>
      <c r="B62" s="254">
        <f>SUM(C62:E62)</f>
        <v>0</v>
      </c>
      <c r="C62" s="254">
        <f>SUM(C58:C61)</f>
        <v>0</v>
      </c>
      <c r="D62" s="254">
        <f>SUM(D58:D61)</f>
        <v>0</v>
      </c>
      <c r="E62" s="255">
        <f>SUM(E58:E61)</f>
        <v>0</v>
      </c>
      <c r="F62" s="254">
        <f>SUM(G62:I62)</f>
        <v>0</v>
      </c>
      <c r="G62" s="254">
        <f t="shared" ref="F62:S62" si="17">SUM(G58:G61)</f>
        <v>0</v>
      </c>
      <c r="H62" s="254">
        <f t="shared" si="17"/>
        <v>0</v>
      </c>
      <c r="I62" s="273">
        <f t="shared" si="17"/>
        <v>0</v>
      </c>
      <c r="J62" s="274">
        <f>SUM(K62:M62)</f>
        <v>0</v>
      </c>
      <c r="K62" s="254">
        <f t="shared" si="17"/>
        <v>0</v>
      </c>
      <c r="L62" s="254">
        <f t="shared" si="17"/>
        <v>0</v>
      </c>
      <c r="M62" s="255">
        <f t="shared" si="17"/>
        <v>0</v>
      </c>
      <c r="N62" s="254">
        <f>SUM(O62:Q62)</f>
        <v>0</v>
      </c>
      <c r="O62" s="254">
        <f t="shared" si="17"/>
        <v>0</v>
      </c>
      <c r="P62" s="254">
        <f t="shared" si="17"/>
        <v>0</v>
      </c>
      <c r="Q62" s="273">
        <f t="shared" si="17"/>
        <v>0</v>
      </c>
      <c r="R62" s="296">
        <f ca="1" t="shared" si="14"/>
        <v>0</v>
      </c>
      <c r="S62" s="254">
        <f t="shared" si="17"/>
        <v>0</v>
      </c>
      <c r="T62" s="297">
        <f ca="1" t="shared" si="15"/>
        <v>0</v>
      </c>
      <c r="U62" s="298" t="e">
        <f ca="1" t="shared" si="16"/>
        <v>#DIV/0!</v>
      </c>
      <c r="V62" s="299"/>
    </row>
    <row r="64" ht="18" customHeight="1" spans="1:20">
      <c r="A64" s="256" t="s">
        <v>113</v>
      </c>
      <c r="B64" s="257"/>
      <c r="C64" s="258"/>
      <c r="D64" s="258"/>
      <c r="E64" s="258"/>
      <c r="F64" s="257"/>
      <c r="G64" s="257"/>
      <c r="H64" s="257"/>
      <c r="I64" s="257"/>
      <c r="J64" s="257"/>
      <c r="K64" s="257"/>
      <c r="L64" s="257"/>
      <c r="M64" s="257"/>
      <c r="N64" s="257"/>
      <c r="O64" s="257"/>
      <c r="P64" s="257"/>
      <c r="Q64" s="257"/>
      <c r="R64" s="258"/>
      <c r="S64" s="258"/>
      <c r="T64" s="258"/>
    </row>
    <row r="65" ht="18" customHeight="1" spans="1:20">
      <c r="A65" s="256" t="s">
        <v>274</v>
      </c>
      <c r="B65" s="300"/>
      <c r="C65" s="256"/>
      <c r="D65" s="256"/>
      <c r="E65" s="256"/>
      <c r="F65" s="300"/>
      <c r="G65" s="300"/>
      <c r="H65" s="300"/>
      <c r="I65" s="300"/>
      <c r="J65" s="300"/>
      <c r="K65" s="300"/>
      <c r="L65" s="300"/>
      <c r="M65" s="300"/>
      <c r="N65" s="300"/>
      <c r="O65" s="300"/>
      <c r="P65" s="300"/>
      <c r="Q65" s="300"/>
      <c r="R65" s="256"/>
      <c r="S65" s="256"/>
      <c r="T65" s="256"/>
    </row>
    <row r="66" ht="18" customHeight="1" spans="1:20">
      <c r="A66" s="256" t="s">
        <v>214</v>
      </c>
      <c r="B66" s="300"/>
      <c r="C66" s="301"/>
      <c r="D66" s="301"/>
      <c r="E66" s="301"/>
      <c r="F66" s="302"/>
      <c r="G66" s="300"/>
      <c r="H66" s="300"/>
      <c r="I66" s="300"/>
      <c r="J66" s="300"/>
      <c r="K66" s="300"/>
      <c r="L66" s="300"/>
      <c r="M66" s="300"/>
      <c r="N66" s="300"/>
      <c r="O66" s="300"/>
      <c r="P66" s="300"/>
      <c r="Q66" s="300"/>
      <c r="R66" s="301"/>
      <c r="S66" s="301"/>
      <c r="T66" s="301"/>
    </row>
    <row r="67" ht="18" customHeight="1" spans="1:20">
      <c r="A67" s="256" t="s">
        <v>275</v>
      </c>
      <c r="B67" s="300"/>
      <c r="C67" s="301"/>
      <c r="D67" s="301"/>
      <c r="E67" s="301"/>
      <c r="F67" s="300"/>
      <c r="G67" s="300"/>
      <c r="H67" s="300"/>
      <c r="I67" s="300"/>
      <c r="J67" s="300"/>
      <c r="K67" s="300"/>
      <c r="L67" s="300"/>
      <c r="M67" s="300"/>
      <c r="N67" s="300"/>
      <c r="O67" s="300"/>
      <c r="P67" s="300"/>
      <c r="Q67" s="300"/>
      <c r="R67" s="301"/>
      <c r="S67" s="301"/>
      <c r="T67" s="301"/>
    </row>
  </sheetData>
  <mergeCells count="9">
    <mergeCell ref="A1:V1"/>
    <mergeCell ref="B3:Q3"/>
    <mergeCell ref="A65:T65"/>
    <mergeCell ref="A3:A4"/>
    <mergeCell ref="R3:R4"/>
    <mergeCell ref="S3:S4"/>
    <mergeCell ref="T3:T4"/>
    <mergeCell ref="U3:U4"/>
    <mergeCell ref="V3:V4"/>
  </mergeCells>
  <conditionalFormatting sqref="B4:Q58 S56 R3 R5:R62 B59:B61 F59:F61 J59:J61 N59:N61">
    <cfRule type="cellIs" dxfId="0" priority="1" operator="equal">
      <formula>"手动调整"</formula>
    </cfRule>
  </conditionalFormatting>
  <pageMargins left="0.75" right="0.75" top="1" bottom="1" header="0.511805555555556" footer="0.511805555555556"/>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D17"/>
  <sheetViews>
    <sheetView showGridLines="0" workbookViewId="0">
      <selection activeCell="A1" sqref="A1:U1"/>
    </sheetView>
  </sheetViews>
  <sheetFormatPr defaultColWidth="8.66666666666667" defaultRowHeight="14.25"/>
  <cols>
    <col min="1" max="1" width="17.8333333333333" customWidth="1"/>
    <col min="2" max="2" width="11.3333333333333" customWidth="1"/>
    <col min="21" max="21" width="13.4166666666667" customWidth="1"/>
  </cols>
  <sheetData>
    <row r="1" ht="28" customHeight="1" spans="1:30">
      <c r="A1" s="182" t="s">
        <v>276</v>
      </c>
      <c r="B1" s="182"/>
      <c r="C1" s="182"/>
      <c r="D1" s="182"/>
      <c r="E1" s="182"/>
      <c r="F1" s="182"/>
      <c r="G1" s="182"/>
      <c r="H1" s="182"/>
      <c r="I1" s="182"/>
      <c r="J1" s="182"/>
      <c r="K1" s="182"/>
      <c r="L1" s="182"/>
      <c r="M1" s="182"/>
      <c r="N1" s="182"/>
      <c r="O1" s="182"/>
      <c r="P1" s="182"/>
      <c r="Q1" s="182"/>
      <c r="R1" s="182"/>
      <c r="S1" s="182"/>
      <c r="T1" s="182"/>
      <c r="U1" s="182"/>
      <c r="V1" s="209"/>
      <c r="W1" s="209"/>
      <c r="X1" s="209"/>
      <c r="Y1" s="209"/>
      <c r="Z1" s="209"/>
      <c r="AA1" s="209"/>
      <c r="AB1" s="209"/>
      <c r="AC1" s="209"/>
      <c r="AD1" s="209"/>
    </row>
    <row r="2" s="1" customFormat="1" ht="23" customHeight="1" spans="1:19">
      <c r="A2" s="1" t="s">
        <v>1</v>
      </c>
      <c r="H2" s="1" t="s">
        <v>2</v>
      </c>
      <c r="S2" s="1" t="s">
        <v>3</v>
      </c>
    </row>
    <row r="3" s="180" customFormat="1" ht="22" customHeight="1" spans="1:21">
      <c r="A3" s="55" t="s">
        <v>277</v>
      </c>
      <c r="B3" s="35" t="s">
        <v>278</v>
      </c>
      <c r="C3" s="9" t="s">
        <v>279</v>
      </c>
      <c r="D3" s="183" t="s">
        <v>280</v>
      </c>
      <c r="E3" s="35"/>
      <c r="F3" s="35"/>
      <c r="G3" s="35"/>
      <c r="H3" s="35"/>
      <c r="I3" s="35"/>
      <c r="J3" s="35"/>
      <c r="K3" s="35"/>
      <c r="L3" s="35"/>
      <c r="M3" s="35"/>
      <c r="N3" s="35"/>
      <c r="O3" s="35"/>
      <c r="P3" s="35"/>
      <c r="Q3" s="35"/>
      <c r="R3" s="35"/>
      <c r="S3" s="35"/>
      <c r="T3" s="35"/>
      <c r="U3" s="36" t="s">
        <v>81</v>
      </c>
    </row>
    <row r="4" s="180" customFormat="1" ht="22" customHeight="1" spans="1:21">
      <c r="A4" s="57"/>
      <c r="B4" s="39"/>
      <c r="C4" s="11"/>
      <c r="D4" s="12" t="s">
        <v>281</v>
      </c>
      <c r="E4" s="13" t="s">
        <v>83</v>
      </c>
      <c r="F4" s="13" t="s">
        <v>84</v>
      </c>
      <c r="G4" s="28" t="s">
        <v>85</v>
      </c>
      <c r="H4" s="29" t="s">
        <v>282</v>
      </c>
      <c r="I4" s="13" t="s">
        <v>87</v>
      </c>
      <c r="J4" s="13" t="s">
        <v>88</v>
      </c>
      <c r="K4" s="14" t="s">
        <v>89</v>
      </c>
      <c r="L4" s="12" t="s">
        <v>283</v>
      </c>
      <c r="M4" s="13" t="s">
        <v>91</v>
      </c>
      <c r="N4" s="13" t="s">
        <v>92</v>
      </c>
      <c r="O4" s="28" t="s">
        <v>93</v>
      </c>
      <c r="P4" s="29" t="s">
        <v>284</v>
      </c>
      <c r="Q4" s="13" t="s">
        <v>95</v>
      </c>
      <c r="R4" s="13" t="s">
        <v>96</v>
      </c>
      <c r="S4" s="14" t="s">
        <v>97</v>
      </c>
      <c r="T4" s="210" t="s">
        <v>22</v>
      </c>
      <c r="U4" s="40"/>
    </row>
    <row r="5" s="4" customFormat="1" ht="22" customHeight="1" spans="1:21">
      <c r="A5" s="184" t="s">
        <v>285</v>
      </c>
      <c r="B5" s="185" t="s">
        <v>286</v>
      </c>
      <c r="C5" s="186">
        <v>0.05</v>
      </c>
      <c r="D5" s="187">
        <f>SUM(E5:G5)</f>
        <v>0</v>
      </c>
      <c r="E5" s="188"/>
      <c r="F5" s="188"/>
      <c r="G5" s="189"/>
      <c r="H5" s="190">
        <f>SUM(I5:K5)</f>
        <v>0</v>
      </c>
      <c r="I5" s="188"/>
      <c r="J5" s="188"/>
      <c r="K5" s="206"/>
      <c r="L5" s="187">
        <f>SUM(M5:O5)</f>
        <v>0</v>
      </c>
      <c r="M5" s="188"/>
      <c r="N5" s="188"/>
      <c r="O5" s="189"/>
      <c r="P5" s="190">
        <f>SUM(Q5:S5)</f>
        <v>0</v>
      </c>
      <c r="Q5" s="211"/>
      <c r="R5" s="211"/>
      <c r="S5" s="212"/>
      <c r="T5" s="213">
        <f>D5+H5+L5+P5</f>
        <v>0</v>
      </c>
      <c r="U5" s="87"/>
    </row>
    <row r="6" s="4" customFormat="1" ht="22" customHeight="1" spans="1:21">
      <c r="A6" s="191" t="s">
        <v>287</v>
      </c>
      <c r="B6" s="192" t="s">
        <v>288</v>
      </c>
      <c r="C6" s="193">
        <v>0.07</v>
      </c>
      <c r="D6" s="187">
        <f t="shared" ref="D6:D15" si="0">SUM(E6:G6)</f>
        <v>0</v>
      </c>
      <c r="E6" s="194"/>
      <c r="F6" s="194"/>
      <c r="G6" s="195"/>
      <c r="H6" s="190">
        <f t="shared" ref="H6:H15" si="1">SUM(I6:K6)</f>
        <v>0</v>
      </c>
      <c r="I6" s="194"/>
      <c r="J6" s="194"/>
      <c r="K6" s="207"/>
      <c r="L6" s="187">
        <f t="shared" ref="L6:L15" si="2">SUM(M6:O6)</f>
        <v>0</v>
      </c>
      <c r="M6" s="194"/>
      <c r="N6" s="194"/>
      <c r="O6" s="195"/>
      <c r="P6" s="190">
        <f t="shared" ref="P6:P15" si="3">SUM(Q6:S6)</f>
        <v>0</v>
      </c>
      <c r="Q6" s="214"/>
      <c r="R6" s="214"/>
      <c r="S6" s="215"/>
      <c r="T6" s="213">
        <f t="shared" ref="T6:T15" si="4">D6+H6+L6+P6</f>
        <v>0</v>
      </c>
      <c r="U6" s="89"/>
    </row>
    <row r="7" s="4" customFormat="1" ht="22" customHeight="1" spans="1:21">
      <c r="A7" s="191" t="s">
        <v>289</v>
      </c>
      <c r="B7" s="192" t="s">
        <v>288</v>
      </c>
      <c r="C7" s="193">
        <v>0.03</v>
      </c>
      <c r="D7" s="187">
        <f t="shared" si="0"/>
        <v>0</v>
      </c>
      <c r="E7" s="194"/>
      <c r="F7" s="194"/>
      <c r="G7" s="195"/>
      <c r="H7" s="190">
        <f t="shared" si="1"/>
        <v>0</v>
      </c>
      <c r="I7" s="194"/>
      <c r="J7" s="194"/>
      <c r="K7" s="207"/>
      <c r="L7" s="187">
        <f t="shared" si="2"/>
        <v>0</v>
      </c>
      <c r="M7" s="194"/>
      <c r="N7" s="194"/>
      <c r="O7" s="195"/>
      <c r="P7" s="190">
        <f t="shared" si="3"/>
        <v>0</v>
      </c>
      <c r="Q7" s="214"/>
      <c r="R7" s="214"/>
      <c r="S7" s="215"/>
      <c r="T7" s="213">
        <f t="shared" si="4"/>
        <v>0</v>
      </c>
      <c r="U7" s="89"/>
    </row>
    <row r="8" s="4" customFormat="1" ht="22" customHeight="1" spans="1:21">
      <c r="A8" s="191" t="s">
        <v>290</v>
      </c>
      <c r="B8" s="192" t="s">
        <v>288</v>
      </c>
      <c r="C8" s="193">
        <v>0.02</v>
      </c>
      <c r="D8" s="187">
        <f t="shared" si="0"/>
        <v>0</v>
      </c>
      <c r="E8" s="194"/>
      <c r="F8" s="194"/>
      <c r="G8" s="195"/>
      <c r="H8" s="190">
        <f t="shared" si="1"/>
        <v>0</v>
      </c>
      <c r="I8" s="194"/>
      <c r="J8" s="194"/>
      <c r="K8" s="207"/>
      <c r="L8" s="187">
        <f t="shared" si="2"/>
        <v>0</v>
      </c>
      <c r="M8" s="194"/>
      <c r="N8" s="194"/>
      <c r="O8" s="195"/>
      <c r="P8" s="190">
        <f t="shared" si="3"/>
        <v>0</v>
      </c>
      <c r="Q8" s="214"/>
      <c r="R8" s="214"/>
      <c r="S8" s="215"/>
      <c r="T8" s="213">
        <f t="shared" si="4"/>
        <v>0</v>
      </c>
      <c r="U8" s="89"/>
    </row>
    <row r="9" s="4" customFormat="1" ht="22" customHeight="1" spans="1:21">
      <c r="A9" s="191" t="s">
        <v>291</v>
      </c>
      <c r="B9" s="196" t="s">
        <v>286</v>
      </c>
      <c r="C9" s="197">
        <v>0.001</v>
      </c>
      <c r="D9" s="187">
        <f t="shared" si="0"/>
        <v>0</v>
      </c>
      <c r="E9" s="194"/>
      <c r="F9" s="194"/>
      <c r="G9" s="195"/>
      <c r="H9" s="190">
        <f t="shared" si="1"/>
        <v>0</v>
      </c>
      <c r="I9" s="194"/>
      <c r="J9" s="194"/>
      <c r="K9" s="207"/>
      <c r="L9" s="187">
        <f t="shared" si="2"/>
        <v>0</v>
      </c>
      <c r="M9" s="194"/>
      <c r="N9" s="194"/>
      <c r="O9" s="195"/>
      <c r="P9" s="190">
        <f t="shared" si="3"/>
        <v>0</v>
      </c>
      <c r="Q9" s="214"/>
      <c r="R9" s="214"/>
      <c r="S9" s="215"/>
      <c r="T9" s="213">
        <f t="shared" si="4"/>
        <v>0</v>
      </c>
      <c r="U9" s="89"/>
    </row>
    <row r="10" s="4" customFormat="1" ht="22" customHeight="1" spans="1:21">
      <c r="A10" s="191" t="s">
        <v>292</v>
      </c>
      <c r="B10" s="196" t="s">
        <v>286</v>
      </c>
      <c r="C10" s="193">
        <v>0.03</v>
      </c>
      <c r="D10" s="187">
        <f t="shared" si="0"/>
        <v>0</v>
      </c>
      <c r="E10" s="194"/>
      <c r="F10" s="194"/>
      <c r="G10" s="195"/>
      <c r="H10" s="190">
        <f t="shared" si="1"/>
        <v>0</v>
      </c>
      <c r="I10" s="194"/>
      <c r="J10" s="194"/>
      <c r="K10" s="207"/>
      <c r="L10" s="187">
        <f t="shared" si="2"/>
        <v>0</v>
      </c>
      <c r="M10" s="194"/>
      <c r="N10" s="194"/>
      <c r="O10" s="195"/>
      <c r="P10" s="190">
        <f t="shared" si="3"/>
        <v>0</v>
      </c>
      <c r="Q10" s="214"/>
      <c r="R10" s="214"/>
      <c r="S10" s="215"/>
      <c r="T10" s="213">
        <f t="shared" si="4"/>
        <v>0</v>
      </c>
      <c r="U10" s="89"/>
    </row>
    <row r="11" s="4" customFormat="1" ht="22" customHeight="1" spans="1:21">
      <c r="A11" s="191" t="s">
        <v>293</v>
      </c>
      <c r="B11" s="196" t="s">
        <v>294</v>
      </c>
      <c r="C11" s="193"/>
      <c r="D11" s="187">
        <f t="shared" si="0"/>
        <v>0</v>
      </c>
      <c r="E11" s="194"/>
      <c r="F11" s="194"/>
      <c r="G11" s="195"/>
      <c r="H11" s="190">
        <f t="shared" si="1"/>
        <v>0</v>
      </c>
      <c r="I11" s="194"/>
      <c r="J11" s="194"/>
      <c r="K11" s="207"/>
      <c r="L11" s="187">
        <f t="shared" si="2"/>
        <v>0</v>
      </c>
      <c r="M11" s="194"/>
      <c r="N11" s="194"/>
      <c r="O11" s="195"/>
      <c r="P11" s="190">
        <f t="shared" si="3"/>
        <v>0</v>
      </c>
      <c r="Q11" s="214"/>
      <c r="R11" s="214"/>
      <c r="S11" s="215"/>
      <c r="T11" s="213">
        <f t="shared" si="4"/>
        <v>0</v>
      </c>
      <c r="U11" s="89"/>
    </row>
    <row r="12" s="4" customFormat="1" ht="22" customHeight="1" spans="1:21">
      <c r="A12" s="191" t="s">
        <v>295</v>
      </c>
      <c r="B12" s="196"/>
      <c r="C12" s="193">
        <v>0.25</v>
      </c>
      <c r="D12" s="187">
        <f t="shared" si="0"/>
        <v>0</v>
      </c>
      <c r="E12" s="194"/>
      <c r="F12" s="194"/>
      <c r="G12" s="195"/>
      <c r="H12" s="190">
        <f t="shared" si="1"/>
        <v>0</v>
      </c>
      <c r="I12" s="194"/>
      <c r="J12" s="194"/>
      <c r="K12" s="207"/>
      <c r="L12" s="187">
        <f t="shared" si="2"/>
        <v>0</v>
      </c>
      <c r="M12" s="194"/>
      <c r="N12" s="194"/>
      <c r="O12" s="195"/>
      <c r="P12" s="190">
        <f t="shared" si="3"/>
        <v>0</v>
      </c>
      <c r="Q12" s="214"/>
      <c r="R12" s="214"/>
      <c r="S12" s="215"/>
      <c r="T12" s="213">
        <f t="shared" si="4"/>
        <v>0</v>
      </c>
      <c r="U12" s="89"/>
    </row>
    <row r="13" s="4" customFormat="1" ht="22" customHeight="1" spans="1:21">
      <c r="A13" s="191" t="s">
        <v>296</v>
      </c>
      <c r="B13" s="196"/>
      <c r="C13" s="193"/>
      <c r="D13" s="187">
        <f t="shared" si="0"/>
        <v>0</v>
      </c>
      <c r="E13" s="194"/>
      <c r="F13" s="194"/>
      <c r="G13" s="195"/>
      <c r="H13" s="190">
        <f t="shared" si="1"/>
        <v>0</v>
      </c>
      <c r="I13" s="194"/>
      <c r="J13" s="194"/>
      <c r="K13" s="207"/>
      <c r="L13" s="187">
        <f t="shared" si="2"/>
        <v>0</v>
      </c>
      <c r="M13" s="194"/>
      <c r="N13" s="194"/>
      <c r="O13" s="195"/>
      <c r="P13" s="190">
        <f t="shared" si="3"/>
        <v>0</v>
      </c>
      <c r="Q13" s="214"/>
      <c r="R13" s="214"/>
      <c r="S13" s="215"/>
      <c r="T13" s="213">
        <f t="shared" si="4"/>
        <v>0</v>
      </c>
      <c r="U13" s="89"/>
    </row>
    <row r="14" s="4" customFormat="1" ht="22" customHeight="1" spans="1:21">
      <c r="A14" s="191" t="s">
        <v>144</v>
      </c>
      <c r="B14" s="192"/>
      <c r="C14" s="193"/>
      <c r="D14" s="187">
        <f t="shared" si="0"/>
        <v>0</v>
      </c>
      <c r="E14" s="194"/>
      <c r="F14" s="194"/>
      <c r="G14" s="195"/>
      <c r="H14" s="190">
        <f t="shared" si="1"/>
        <v>0</v>
      </c>
      <c r="I14" s="194"/>
      <c r="J14" s="194"/>
      <c r="K14" s="207"/>
      <c r="L14" s="187">
        <f t="shared" si="2"/>
        <v>0</v>
      </c>
      <c r="M14" s="194"/>
      <c r="N14" s="194"/>
      <c r="O14" s="195"/>
      <c r="P14" s="190">
        <f t="shared" si="3"/>
        <v>0</v>
      </c>
      <c r="Q14" s="214"/>
      <c r="R14" s="214"/>
      <c r="S14" s="215"/>
      <c r="T14" s="213">
        <f t="shared" si="4"/>
        <v>0</v>
      </c>
      <c r="U14" s="89"/>
    </row>
    <row r="15" s="181" customFormat="1" ht="22" customHeight="1" spans="1:21">
      <c r="A15" s="198" t="s">
        <v>297</v>
      </c>
      <c r="B15" s="199"/>
      <c r="C15" s="200"/>
      <c r="D15" s="201">
        <f t="shared" si="0"/>
        <v>0</v>
      </c>
      <c r="E15" s="202">
        <f>SUM(E5:E14)</f>
        <v>0</v>
      </c>
      <c r="F15" s="202">
        <f>SUM(F5:F14)</f>
        <v>0</v>
      </c>
      <c r="G15" s="203">
        <f>SUM(G5:G14)</f>
        <v>0</v>
      </c>
      <c r="H15" s="204">
        <f t="shared" si="1"/>
        <v>0</v>
      </c>
      <c r="I15" s="202">
        <f>SUM(I5:I14)</f>
        <v>0</v>
      </c>
      <c r="J15" s="202">
        <f>SUM(J5:J14)</f>
        <v>0</v>
      </c>
      <c r="K15" s="203">
        <f>SUM(K5:K14)</f>
        <v>0</v>
      </c>
      <c r="L15" s="208">
        <f t="shared" si="2"/>
        <v>0</v>
      </c>
      <c r="M15" s="202">
        <f t="shared" ref="L15:T15" si="5">SUM(M5:M14)</f>
        <v>0</v>
      </c>
      <c r="N15" s="202">
        <f t="shared" si="5"/>
        <v>0</v>
      </c>
      <c r="O15" s="203">
        <f t="shared" si="5"/>
        <v>0</v>
      </c>
      <c r="P15" s="208">
        <f t="shared" si="3"/>
        <v>0</v>
      </c>
      <c r="Q15" s="202">
        <f t="shared" si="5"/>
        <v>0</v>
      </c>
      <c r="R15" s="202">
        <f t="shared" si="5"/>
        <v>0</v>
      </c>
      <c r="S15" s="202">
        <f t="shared" si="5"/>
        <v>0</v>
      </c>
      <c r="T15" s="202">
        <f t="shared" si="4"/>
        <v>0</v>
      </c>
      <c r="U15" s="47"/>
    </row>
    <row r="17" ht="20" customHeight="1" spans="1:1">
      <c r="A17" s="205" t="s">
        <v>298</v>
      </c>
    </row>
  </sheetData>
  <mergeCells count="7">
    <mergeCell ref="A1:U1"/>
    <mergeCell ref="D3:T3"/>
    <mergeCell ref="A15:C15"/>
    <mergeCell ref="A3:A4"/>
    <mergeCell ref="B3:B4"/>
    <mergeCell ref="C3:C4"/>
    <mergeCell ref="U3:U4"/>
  </mergeCells>
  <pageMargins left="0.75" right="0.75" top="1" bottom="1" header="0.511805555555556" footer="0.511805555555556"/>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V29"/>
  <sheetViews>
    <sheetView showGridLines="0" workbookViewId="0">
      <selection activeCell="A1" sqref="A1:V1"/>
    </sheetView>
  </sheetViews>
  <sheetFormatPr defaultColWidth="8.66666666666667" defaultRowHeight="16.5"/>
  <cols>
    <col min="1" max="1" width="11.8333333333333" style="8" customWidth="1"/>
    <col min="2" max="2" width="9.83333333333333" customWidth="1"/>
    <col min="3" max="3" width="10.0833333333333" customWidth="1"/>
    <col min="4" max="4" width="11.8333333333333" customWidth="1"/>
    <col min="22" max="22" width="12.4166666666667" customWidth="1"/>
  </cols>
  <sheetData>
    <row r="1" ht="31" customHeight="1" spans="1:22">
      <c r="A1" s="130" t="s">
        <v>299</v>
      </c>
      <c r="B1" s="131"/>
      <c r="C1" s="131"/>
      <c r="D1" s="131"/>
      <c r="E1" s="131"/>
      <c r="F1" s="131"/>
      <c r="G1" s="131"/>
      <c r="H1" s="131"/>
      <c r="I1" s="131"/>
      <c r="J1" s="131"/>
      <c r="K1" s="131"/>
      <c r="L1" s="131"/>
      <c r="M1" s="131"/>
      <c r="N1" s="131"/>
      <c r="O1" s="131"/>
      <c r="P1" s="131"/>
      <c r="Q1" s="131"/>
      <c r="R1" s="131"/>
      <c r="S1" s="131"/>
      <c r="T1" s="131"/>
      <c r="U1" s="131"/>
      <c r="V1" s="131"/>
    </row>
    <row r="2" s="1" customFormat="1" ht="23" customHeight="1" spans="1:17">
      <c r="A2" s="1" t="s">
        <v>1</v>
      </c>
      <c r="I2" s="1" t="s">
        <v>2</v>
      </c>
      <c r="Q2" s="1" t="s">
        <v>3</v>
      </c>
    </row>
    <row r="3" s="4" customFormat="1" ht="22" customHeight="1" spans="1:22">
      <c r="A3" s="132" t="s">
        <v>300</v>
      </c>
      <c r="B3" s="35" t="s">
        <v>301</v>
      </c>
      <c r="C3" s="35" t="s">
        <v>302</v>
      </c>
      <c r="D3" s="9" t="s">
        <v>303</v>
      </c>
      <c r="E3" s="10" t="s">
        <v>304</v>
      </c>
      <c r="F3" s="10"/>
      <c r="G3" s="10"/>
      <c r="H3" s="10"/>
      <c r="I3" s="10"/>
      <c r="J3" s="10"/>
      <c r="K3" s="10"/>
      <c r="L3" s="10"/>
      <c r="M3" s="10"/>
      <c r="N3" s="10"/>
      <c r="O3" s="10"/>
      <c r="P3" s="10"/>
      <c r="Q3" s="10"/>
      <c r="R3" s="10"/>
      <c r="S3" s="10"/>
      <c r="T3" s="10"/>
      <c r="U3" s="170" t="s">
        <v>98</v>
      </c>
      <c r="V3" s="36" t="s">
        <v>81</v>
      </c>
    </row>
    <row r="4" s="4" customFormat="1" ht="22" customHeight="1" spans="1:22">
      <c r="A4" s="114"/>
      <c r="B4" s="39"/>
      <c r="C4" s="39"/>
      <c r="D4" s="11"/>
      <c r="E4" s="12" t="s">
        <v>281</v>
      </c>
      <c r="F4" s="13" t="s">
        <v>83</v>
      </c>
      <c r="G4" s="13" t="s">
        <v>84</v>
      </c>
      <c r="H4" s="28" t="s">
        <v>85</v>
      </c>
      <c r="I4" s="29" t="s">
        <v>282</v>
      </c>
      <c r="J4" s="13" t="s">
        <v>87</v>
      </c>
      <c r="K4" s="13" t="s">
        <v>88</v>
      </c>
      <c r="L4" s="14" t="s">
        <v>89</v>
      </c>
      <c r="M4" s="12" t="s">
        <v>283</v>
      </c>
      <c r="N4" s="13" t="s">
        <v>91</v>
      </c>
      <c r="O4" s="13" t="s">
        <v>92</v>
      </c>
      <c r="P4" s="28" t="s">
        <v>93</v>
      </c>
      <c r="Q4" s="29" t="s">
        <v>284</v>
      </c>
      <c r="R4" s="13" t="s">
        <v>95</v>
      </c>
      <c r="S4" s="13" t="s">
        <v>96</v>
      </c>
      <c r="T4" s="28" t="s">
        <v>97</v>
      </c>
      <c r="U4" s="171"/>
      <c r="V4" s="40"/>
    </row>
    <row r="5" s="127" customFormat="1" ht="22" customHeight="1" spans="1:22">
      <c r="A5" s="133" t="s">
        <v>305</v>
      </c>
      <c r="B5" s="134"/>
      <c r="C5" s="134"/>
      <c r="D5" s="135"/>
      <c r="E5" s="69">
        <f>SUM(F5:H5)</f>
        <v>0</v>
      </c>
      <c r="F5" s="136"/>
      <c r="G5" s="136"/>
      <c r="H5" s="137"/>
      <c r="I5" s="31">
        <f>SUM(J5:L5)</f>
        <v>0</v>
      </c>
      <c r="J5" s="17"/>
      <c r="K5" s="17"/>
      <c r="L5" s="18"/>
      <c r="M5" s="69">
        <f>SUM(N5:P5)</f>
        <v>0</v>
      </c>
      <c r="N5" s="136"/>
      <c r="O5" s="136"/>
      <c r="P5" s="137"/>
      <c r="Q5" s="31">
        <f>SUM(R5:T5)</f>
        <v>0</v>
      </c>
      <c r="R5" s="17"/>
      <c r="S5" s="17"/>
      <c r="T5" s="18"/>
      <c r="U5" s="16">
        <f>E5+I5+M5+Q5</f>
        <v>0</v>
      </c>
      <c r="V5" s="172"/>
    </row>
    <row r="6" s="127" customFormat="1" ht="22" customHeight="1" spans="1:22">
      <c r="A6" s="62" t="s">
        <v>306</v>
      </c>
      <c r="B6" s="138"/>
      <c r="C6" s="138"/>
      <c r="D6" s="139"/>
      <c r="E6" s="69">
        <f t="shared" ref="E6:E12" si="0">SUM(F6:H6)</f>
        <v>0</v>
      </c>
      <c r="F6" s="140"/>
      <c r="G6" s="140"/>
      <c r="H6" s="141"/>
      <c r="I6" s="31">
        <f t="shared" ref="I6:I12" si="1">SUM(J6:L6)</f>
        <v>0</v>
      </c>
      <c r="J6" s="20"/>
      <c r="K6" s="20"/>
      <c r="L6" s="21"/>
      <c r="M6" s="69">
        <f t="shared" ref="M6:M12" si="2">SUM(N6:P6)</f>
        <v>0</v>
      </c>
      <c r="N6" s="140"/>
      <c r="O6" s="140"/>
      <c r="P6" s="141"/>
      <c r="Q6" s="31">
        <f t="shared" ref="Q6:Q12" si="3">SUM(R6:T6)</f>
        <v>0</v>
      </c>
      <c r="R6" s="20"/>
      <c r="S6" s="20"/>
      <c r="T6" s="21"/>
      <c r="U6" s="16">
        <f t="shared" ref="U6:U12" si="4">E6+I6+M6+Q6</f>
        <v>0</v>
      </c>
      <c r="V6" s="173"/>
    </row>
    <row r="7" s="127" customFormat="1" ht="22" customHeight="1" spans="1:22">
      <c r="A7" s="142" t="s">
        <v>307</v>
      </c>
      <c r="B7" s="138"/>
      <c r="C7" s="138"/>
      <c r="D7" s="139"/>
      <c r="E7" s="69">
        <f t="shared" si="0"/>
        <v>0</v>
      </c>
      <c r="F7" s="140"/>
      <c r="G7" s="140"/>
      <c r="H7" s="141"/>
      <c r="I7" s="31">
        <f t="shared" si="1"/>
        <v>0</v>
      </c>
      <c r="J7" s="20"/>
      <c r="K7" s="20"/>
      <c r="L7" s="21"/>
      <c r="M7" s="69">
        <f t="shared" si="2"/>
        <v>0</v>
      </c>
      <c r="N7" s="140"/>
      <c r="O7" s="140"/>
      <c r="P7" s="141"/>
      <c r="Q7" s="31">
        <f t="shared" si="3"/>
        <v>0</v>
      </c>
      <c r="R7" s="20"/>
      <c r="S7" s="20"/>
      <c r="T7" s="21"/>
      <c r="U7" s="16">
        <f t="shared" si="4"/>
        <v>0</v>
      </c>
      <c r="V7" s="173"/>
    </row>
    <row r="8" s="127" customFormat="1" ht="22" customHeight="1" spans="1:22">
      <c r="A8" s="142" t="s">
        <v>308</v>
      </c>
      <c r="B8" s="138"/>
      <c r="C8" s="138"/>
      <c r="D8" s="139"/>
      <c r="E8" s="69">
        <f t="shared" si="0"/>
        <v>0</v>
      </c>
      <c r="F8" s="140"/>
      <c r="G8" s="140"/>
      <c r="H8" s="141"/>
      <c r="I8" s="31">
        <f t="shared" si="1"/>
        <v>0</v>
      </c>
      <c r="J8" s="20"/>
      <c r="K8" s="20"/>
      <c r="L8" s="21"/>
      <c r="M8" s="69">
        <f t="shared" si="2"/>
        <v>0</v>
      </c>
      <c r="N8" s="140"/>
      <c r="O8" s="140"/>
      <c r="P8" s="141"/>
      <c r="Q8" s="31">
        <f t="shared" si="3"/>
        <v>0</v>
      </c>
      <c r="R8" s="20"/>
      <c r="S8" s="20"/>
      <c r="T8" s="21"/>
      <c r="U8" s="16">
        <f t="shared" si="4"/>
        <v>0</v>
      </c>
      <c r="V8" s="173"/>
    </row>
    <row r="9" s="127" customFormat="1" ht="22" customHeight="1" spans="1:22">
      <c r="A9" s="62" t="s">
        <v>309</v>
      </c>
      <c r="B9" s="138"/>
      <c r="C9" s="138"/>
      <c r="D9" s="139"/>
      <c r="E9" s="69">
        <f t="shared" si="0"/>
        <v>0</v>
      </c>
      <c r="F9" s="140"/>
      <c r="G9" s="140"/>
      <c r="H9" s="141"/>
      <c r="I9" s="31">
        <f t="shared" si="1"/>
        <v>0</v>
      </c>
      <c r="J9" s="20"/>
      <c r="K9" s="20"/>
      <c r="L9" s="21"/>
      <c r="M9" s="69">
        <f t="shared" si="2"/>
        <v>0</v>
      </c>
      <c r="N9" s="140"/>
      <c r="O9" s="140"/>
      <c r="P9" s="141"/>
      <c r="Q9" s="31">
        <f t="shared" si="3"/>
        <v>0</v>
      </c>
      <c r="R9" s="20"/>
      <c r="S9" s="20"/>
      <c r="T9" s="21"/>
      <c r="U9" s="16">
        <f t="shared" si="4"/>
        <v>0</v>
      </c>
      <c r="V9" s="173"/>
    </row>
    <row r="10" s="127" customFormat="1" ht="22" customHeight="1" spans="1:22">
      <c r="A10" s="142" t="s">
        <v>307</v>
      </c>
      <c r="B10" s="138"/>
      <c r="C10" s="138"/>
      <c r="D10" s="139"/>
      <c r="E10" s="69">
        <f t="shared" si="0"/>
        <v>0</v>
      </c>
      <c r="F10" s="140"/>
      <c r="G10" s="140"/>
      <c r="H10" s="141"/>
      <c r="I10" s="31">
        <f t="shared" si="1"/>
        <v>0</v>
      </c>
      <c r="J10" s="20"/>
      <c r="K10" s="20"/>
      <c r="L10" s="21"/>
      <c r="M10" s="69">
        <f t="shared" si="2"/>
        <v>0</v>
      </c>
      <c r="N10" s="140"/>
      <c r="O10" s="140"/>
      <c r="P10" s="141"/>
      <c r="Q10" s="31">
        <f t="shared" si="3"/>
        <v>0</v>
      </c>
      <c r="R10" s="20"/>
      <c r="S10" s="20"/>
      <c r="T10" s="21"/>
      <c r="U10" s="16">
        <f t="shared" si="4"/>
        <v>0</v>
      </c>
      <c r="V10" s="173"/>
    </row>
    <row r="11" s="127" customFormat="1" ht="22" customHeight="1" spans="1:22">
      <c r="A11" s="143" t="s">
        <v>308</v>
      </c>
      <c r="B11" s="144"/>
      <c r="C11" s="144"/>
      <c r="D11" s="145"/>
      <c r="E11" s="69">
        <f t="shared" si="0"/>
        <v>0</v>
      </c>
      <c r="F11" s="146"/>
      <c r="G11" s="146"/>
      <c r="H11" s="147"/>
      <c r="I11" s="31">
        <f t="shared" si="1"/>
        <v>0</v>
      </c>
      <c r="J11" s="160"/>
      <c r="K11" s="160"/>
      <c r="L11" s="161"/>
      <c r="M11" s="69">
        <f t="shared" si="2"/>
        <v>0</v>
      </c>
      <c r="N11" s="146"/>
      <c r="O11" s="146"/>
      <c r="P11" s="147"/>
      <c r="Q11" s="31">
        <f t="shared" si="3"/>
        <v>0</v>
      </c>
      <c r="R11" s="160"/>
      <c r="S11" s="160"/>
      <c r="T11" s="161"/>
      <c r="U11" s="16">
        <f t="shared" si="4"/>
        <v>0</v>
      </c>
      <c r="V11" s="174"/>
    </row>
    <row r="12" s="128" customFormat="1" ht="22" customHeight="1" spans="1:22">
      <c r="A12" s="114" t="s">
        <v>109</v>
      </c>
      <c r="B12" s="68">
        <f>SUM(B5:B11)</f>
        <v>0</v>
      </c>
      <c r="C12" s="68">
        <f>SUM(C5:C11)</f>
        <v>0</v>
      </c>
      <c r="D12" s="67">
        <f>SUM(D5:D11)</f>
        <v>0</v>
      </c>
      <c r="E12" s="148">
        <f t="shared" si="0"/>
        <v>0</v>
      </c>
      <c r="F12" s="148">
        <f>SUM(F5:F11)</f>
        <v>0</v>
      </c>
      <c r="G12" s="148">
        <f>SUM(G5:G11)</f>
        <v>0</v>
      </c>
      <c r="H12" s="149">
        <f>SUM(H5:H11)</f>
        <v>0</v>
      </c>
      <c r="I12" s="148">
        <f t="shared" si="1"/>
        <v>0</v>
      </c>
      <c r="J12" s="148">
        <f t="shared" ref="I12:T12" si="5">SUM(J5:J11)</f>
        <v>0</v>
      </c>
      <c r="K12" s="148">
        <f t="shared" si="5"/>
        <v>0</v>
      </c>
      <c r="L12" s="162">
        <f t="shared" si="5"/>
        <v>0</v>
      </c>
      <c r="M12" s="163">
        <f t="shared" si="2"/>
        <v>0</v>
      </c>
      <c r="N12" s="148">
        <f t="shared" si="5"/>
        <v>0</v>
      </c>
      <c r="O12" s="148">
        <f t="shared" si="5"/>
        <v>0</v>
      </c>
      <c r="P12" s="162">
        <f t="shared" si="5"/>
        <v>0</v>
      </c>
      <c r="Q12" s="163">
        <f t="shared" si="3"/>
        <v>0</v>
      </c>
      <c r="R12" s="148">
        <f t="shared" si="5"/>
        <v>0</v>
      </c>
      <c r="S12" s="148">
        <f t="shared" si="5"/>
        <v>0</v>
      </c>
      <c r="T12" s="162">
        <f t="shared" si="5"/>
        <v>0</v>
      </c>
      <c r="U12" s="163">
        <f t="shared" si="4"/>
        <v>0</v>
      </c>
      <c r="V12" s="175"/>
    </row>
    <row r="13" s="127" customFormat="1" ht="22" customHeight="1" spans="1:22">
      <c r="A13" s="133" t="s">
        <v>310</v>
      </c>
      <c r="B13" s="134"/>
      <c r="C13" s="134"/>
      <c r="D13" s="135"/>
      <c r="E13" s="150"/>
      <c r="F13" s="134"/>
      <c r="G13" s="134"/>
      <c r="H13" s="151"/>
      <c r="I13" s="164"/>
      <c r="J13" s="134"/>
      <c r="K13" s="134"/>
      <c r="L13" s="135"/>
      <c r="M13" s="150"/>
      <c r="N13" s="134"/>
      <c r="O13" s="134"/>
      <c r="P13" s="151"/>
      <c r="Q13" s="164"/>
      <c r="R13" s="134"/>
      <c r="S13" s="134"/>
      <c r="T13" s="135"/>
      <c r="U13" s="150"/>
      <c r="V13" s="172"/>
    </row>
    <row r="14" s="127" customFormat="1" ht="22" customHeight="1" spans="1:22">
      <c r="A14" s="62" t="s">
        <v>311</v>
      </c>
      <c r="B14" s="64"/>
      <c r="C14" s="64"/>
      <c r="D14" s="85"/>
      <c r="E14" s="152"/>
      <c r="F14" s="138"/>
      <c r="G14" s="138"/>
      <c r="H14" s="153"/>
      <c r="I14" s="165"/>
      <c r="J14" s="138"/>
      <c r="K14" s="138"/>
      <c r="L14" s="139"/>
      <c r="M14" s="152"/>
      <c r="N14" s="138"/>
      <c r="O14" s="138"/>
      <c r="P14" s="153"/>
      <c r="Q14" s="165"/>
      <c r="R14" s="138"/>
      <c r="S14" s="138"/>
      <c r="T14" s="139"/>
      <c r="U14" s="152"/>
      <c r="V14" s="173"/>
    </row>
    <row r="15" s="127" customFormat="1" ht="22" customHeight="1" spans="1:22">
      <c r="A15" s="142" t="s">
        <v>307</v>
      </c>
      <c r="B15" s="64"/>
      <c r="C15" s="64"/>
      <c r="D15" s="85"/>
      <c r="E15" s="152"/>
      <c r="F15" s="138"/>
      <c r="G15" s="138"/>
      <c r="H15" s="153"/>
      <c r="I15" s="165"/>
      <c r="J15" s="138"/>
      <c r="K15" s="138"/>
      <c r="L15" s="139"/>
      <c r="M15" s="152"/>
      <c r="N15" s="138"/>
      <c r="O15" s="138"/>
      <c r="P15" s="153"/>
      <c r="Q15" s="165"/>
      <c r="R15" s="138"/>
      <c r="S15" s="138"/>
      <c r="T15" s="139"/>
      <c r="U15" s="152"/>
      <c r="V15" s="173"/>
    </row>
    <row r="16" s="127" customFormat="1" ht="22" customHeight="1" spans="1:22">
      <c r="A16" s="142" t="s">
        <v>308</v>
      </c>
      <c r="B16" s="64"/>
      <c r="C16" s="64"/>
      <c r="D16" s="85"/>
      <c r="E16" s="152"/>
      <c r="F16" s="138"/>
      <c r="G16" s="138"/>
      <c r="H16" s="153"/>
      <c r="I16" s="165"/>
      <c r="J16" s="138"/>
      <c r="K16" s="138"/>
      <c r="L16" s="139"/>
      <c r="M16" s="152"/>
      <c r="N16" s="138"/>
      <c r="O16" s="138"/>
      <c r="P16" s="153"/>
      <c r="Q16" s="165"/>
      <c r="R16" s="138"/>
      <c r="S16" s="138"/>
      <c r="T16" s="139"/>
      <c r="U16" s="152"/>
      <c r="V16" s="173"/>
    </row>
    <row r="17" s="127" customFormat="1" ht="22" customHeight="1" spans="1:22">
      <c r="A17" s="62" t="s">
        <v>312</v>
      </c>
      <c r="B17" s="64"/>
      <c r="C17" s="64"/>
      <c r="D17" s="85"/>
      <c r="E17" s="152"/>
      <c r="F17" s="138"/>
      <c r="G17" s="138"/>
      <c r="H17" s="153"/>
      <c r="I17" s="165"/>
      <c r="J17" s="138"/>
      <c r="K17" s="138"/>
      <c r="L17" s="139"/>
      <c r="M17" s="152"/>
      <c r="N17" s="138"/>
      <c r="O17" s="138"/>
      <c r="P17" s="153"/>
      <c r="Q17" s="165"/>
      <c r="R17" s="138"/>
      <c r="S17" s="138"/>
      <c r="T17" s="139"/>
      <c r="U17" s="152"/>
      <c r="V17" s="173"/>
    </row>
    <row r="18" s="127" customFormat="1" ht="22" customHeight="1" spans="1:22">
      <c r="A18" s="142" t="s">
        <v>307</v>
      </c>
      <c r="B18" s="64"/>
      <c r="C18" s="64"/>
      <c r="D18" s="85"/>
      <c r="E18" s="152"/>
      <c r="F18" s="138"/>
      <c r="G18" s="138"/>
      <c r="H18" s="153"/>
      <c r="I18" s="165"/>
      <c r="J18" s="138"/>
      <c r="K18" s="138"/>
      <c r="L18" s="139"/>
      <c r="M18" s="152"/>
      <c r="N18" s="138"/>
      <c r="O18" s="138"/>
      <c r="P18" s="153"/>
      <c r="Q18" s="165"/>
      <c r="R18" s="138"/>
      <c r="S18" s="138"/>
      <c r="T18" s="139"/>
      <c r="U18" s="152"/>
      <c r="V18" s="173"/>
    </row>
    <row r="19" s="127" customFormat="1" ht="22" customHeight="1" spans="1:22">
      <c r="A19" s="143" t="s">
        <v>308</v>
      </c>
      <c r="B19" s="107"/>
      <c r="C19" s="107"/>
      <c r="D19" s="108"/>
      <c r="E19" s="154"/>
      <c r="F19" s="144"/>
      <c r="G19" s="144"/>
      <c r="H19" s="155"/>
      <c r="I19" s="166"/>
      <c r="J19" s="144"/>
      <c r="K19" s="144"/>
      <c r="L19" s="145"/>
      <c r="M19" s="154"/>
      <c r="N19" s="144"/>
      <c r="O19" s="144"/>
      <c r="P19" s="155"/>
      <c r="Q19" s="166"/>
      <c r="R19" s="144"/>
      <c r="S19" s="144"/>
      <c r="T19" s="145"/>
      <c r="U19" s="154"/>
      <c r="V19" s="174"/>
    </row>
    <row r="20" s="127" customFormat="1" ht="22" customHeight="1" spans="1:22">
      <c r="A20" s="114" t="s">
        <v>109</v>
      </c>
      <c r="B20" s="68">
        <f>SUM(B14:B19)</f>
        <v>0</v>
      </c>
      <c r="C20" s="68">
        <f>SUM(C14:C19)</f>
        <v>0</v>
      </c>
      <c r="D20" s="67">
        <f>SUM(D14:D19)</f>
        <v>0</v>
      </c>
      <c r="E20" s="68">
        <f t="shared" ref="E20:U20" si="6">SUM(E14:E19)</f>
        <v>0</v>
      </c>
      <c r="F20" s="68">
        <f t="shared" si="6"/>
        <v>0</v>
      </c>
      <c r="G20" s="112">
        <f t="shared" si="6"/>
        <v>0</v>
      </c>
      <c r="H20" s="67">
        <f t="shared" si="6"/>
        <v>0</v>
      </c>
      <c r="I20" s="148">
        <f t="shared" si="6"/>
        <v>0</v>
      </c>
      <c r="J20" s="112">
        <f t="shared" si="6"/>
        <v>0</v>
      </c>
      <c r="K20" s="68">
        <f t="shared" si="6"/>
        <v>0</v>
      </c>
      <c r="L20" s="112">
        <f t="shared" si="6"/>
        <v>0</v>
      </c>
      <c r="M20" s="167">
        <f t="shared" si="6"/>
        <v>0</v>
      </c>
      <c r="N20" s="68">
        <f t="shared" si="6"/>
        <v>0</v>
      </c>
      <c r="O20" s="68">
        <f t="shared" si="6"/>
        <v>0</v>
      </c>
      <c r="P20" s="67">
        <f t="shared" si="6"/>
        <v>0</v>
      </c>
      <c r="Q20" s="68">
        <f t="shared" si="6"/>
        <v>0</v>
      </c>
      <c r="R20" s="68">
        <f t="shared" si="6"/>
        <v>0</v>
      </c>
      <c r="S20" s="68">
        <f t="shared" si="6"/>
        <v>0</v>
      </c>
      <c r="T20" s="112">
        <f t="shared" si="6"/>
        <v>0</v>
      </c>
      <c r="U20" s="163">
        <f t="shared" si="6"/>
        <v>0</v>
      </c>
      <c r="V20" s="176"/>
    </row>
    <row r="21" s="129" customFormat="1" ht="22" customHeight="1" spans="1:22">
      <c r="A21" s="78" t="s">
        <v>112</v>
      </c>
      <c r="B21" s="80">
        <f>B12+B20</f>
        <v>0</v>
      </c>
      <c r="C21" s="80">
        <f>C12+C20</f>
        <v>0</v>
      </c>
      <c r="D21" s="79">
        <f>D12+D20</f>
        <v>0</v>
      </c>
      <c r="E21" s="80">
        <f t="shared" ref="E21:U21" si="7">E12+E20</f>
        <v>0</v>
      </c>
      <c r="F21" s="80">
        <f t="shared" si="7"/>
        <v>0</v>
      </c>
      <c r="G21" s="116">
        <f t="shared" si="7"/>
        <v>0</v>
      </c>
      <c r="H21" s="116">
        <f t="shared" si="7"/>
        <v>0</v>
      </c>
      <c r="I21" s="168">
        <f t="shared" si="7"/>
        <v>0</v>
      </c>
      <c r="J21" s="116">
        <f t="shared" si="7"/>
        <v>0</v>
      </c>
      <c r="K21" s="80">
        <f t="shared" si="7"/>
        <v>0</v>
      </c>
      <c r="L21" s="79">
        <f t="shared" si="7"/>
        <v>0</v>
      </c>
      <c r="M21" s="169">
        <f t="shared" si="7"/>
        <v>0</v>
      </c>
      <c r="N21" s="80">
        <f t="shared" si="7"/>
        <v>0</v>
      </c>
      <c r="O21" s="80">
        <f t="shared" si="7"/>
        <v>0</v>
      </c>
      <c r="P21" s="79">
        <f t="shared" si="7"/>
        <v>0</v>
      </c>
      <c r="Q21" s="80">
        <f t="shared" si="7"/>
        <v>0</v>
      </c>
      <c r="R21" s="80">
        <f t="shared" si="7"/>
        <v>0</v>
      </c>
      <c r="S21" s="116">
        <f t="shared" si="7"/>
        <v>0</v>
      </c>
      <c r="T21" s="116">
        <f t="shared" si="7"/>
        <v>0</v>
      </c>
      <c r="U21" s="168">
        <f t="shared" si="7"/>
        <v>0</v>
      </c>
      <c r="V21" s="177"/>
    </row>
    <row r="22" ht="20" customHeight="1" spans="1:22">
      <c r="A22" s="156" t="s">
        <v>113</v>
      </c>
      <c r="B22" s="157"/>
      <c r="C22" s="157"/>
      <c r="D22" s="157"/>
      <c r="E22" s="157"/>
      <c r="F22" s="157"/>
      <c r="G22" s="157"/>
      <c r="H22" s="157"/>
      <c r="I22" s="157"/>
      <c r="J22" s="157"/>
      <c r="K22" s="157"/>
      <c r="L22" s="157"/>
      <c r="M22" s="157"/>
      <c r="N22" s="157"/>
      <c r="O22" s="157"/>
      <c r="P22" s="157"/>
      <c r="Q22" s="157"/>
      <c r="R22" s="178"/>
      <c r="S22" s="178"/>
      <c r="T22" s="178"/>
      <c r="U22" s="179"/>
      <c r="V22" s="178"/>
    </row>
    <row r="23" ht="20" customHeight="1" spans="1:22">
      <c r="A23" s="158" t="s">
        <v>313</v>
      </c>
      <c r="B23" s="157"/>
      <c r="C23" s="157"/>
      <c r="D23" s="157"/>
      <c r="E23" s="157"/>
      <c r="F23" s="157"/>
      <c r="G23" s="157"/>
      <c r="H23" s="157"/>
      <c r="I23" s="157"/>
      <c r="J23" s="157"/>
      <c r="K23" s="157"/>
      <c r="L23" s="157"/>
      <c r="M23" s="157"/>
      <c r="N23" s="157"/>
      <c r="O23" s="157"/>
      <c r="P23" s="157"/>
      <c r="Q23" s="157"/>
      <c r="R23" s="178"/>
      <c r="S23" s="178"/>
      <c r="T23" s="178"/>
      <c r="U23" s="179"/>
      <c r="V23" s="178"/>
    </row>
    <row r="24" ht="20" customHeight="1" spans="1:22">
      <c r="A24" s="158" t="s">
        <v>314</v>
      </c>
      <c r="B24" s="157"/>
      <c r="C24" s="157"/>
      <c r="D24" s="157"/>
      <c r="E24" s="157"/>
      <c r="F24" s="157"/>
      <c r="G24" s="157"/>
      <c r="H24" s="157"/>
      <c r="I24" s="157"/>
      <c r="J24" s="157"/>
      <c r="K24" s="157"/>
      <c r="L24" s="157"/>
      <c r="M24" s="157"/>
      <c r="N24" s="157"/>
      <c r="O24" s="157"/>
      <c r="P24" s="157"/>
      <c r="Q24" s="157"/>
      <c r="R24" s="178"/>
      <c r="S24" s="178"/>
      <c r="T24" s="178"/>
      <c r="U24" s="179"/>
      <c r="V24" s="178"/>
    </row>
    <row r="25" ht="20" customHeight="1" spans="1:22">
      <c r="A25" s="158" t="s">
        <v>315</v>
      </c>
      <c r="B25" s="157"/>
      <c r="C25" s="157"/>
      <c r="D25" s="157"/>
      <c r="E25" s="157"/>
      <c r="F25" s="157"/>
      <c r="G25" s="157"/>
      <c r="H25" s="157"/>
      <c r="I25" s="157"/>
      <c r="J25" s="157"/>
      <c r="K25" s="157"/>
      <c r="L25" s="157"/>
      <c r="M25" s="157"/>
      <c r="N25" s="157"/>
      <c r="O25" s="157"/>
      <c r="P25" s="157"/>
      <c r="Q25" s="157"/>
      <c r="R25" s="178"/>
      <c r="S25" s="178"/>
      <c r="T25" s="178"/>
      <c r="U25" s="179"/>
      <c r="V25" s="178"/>
    </row>
    <row r="26" ht="20" customHeight="1" spans="1:22">
      <c r="A26" s="158" t="s">
        <v>316</v>
      </c>
      <c r="B26" s="157"/>
      <c r="C26" s="157"/>
      <c r="D26" s="157"/>
      <c r="E26" s="157"/>
      <c r="F26" s="157"/>
      <c r="G26" s="157"/>
      <c r="H26" s="157"/>
      <c r="I26" s="157"/>
      <c r="J26" s="157"/>
      <c r="K26" s="157"/>
      <c r="L26" s="157"/>
      <c r="M26" s="157"/>
      <c r="N26" s="157"/>
      <c r="O26" s="157"/>
      <c r="P26" s="157"/>
      <c r="Q26" s="157"/>
      <c r="R26" s="178"/>
      <c r="S26" s="178"/>
      <c r="T26" s="178"/>
      <c r="U26" s="179"/>
      <c r="V26" s="178"/>
    </row>
    <row r="27" ht="20" customHeight="1" spans="1:22">
      <c r="A27" s="158" t="s">
        <v>317</v>
      </c>
      <c r="B27" s="157"/>
      <c r="C27" s="157"/>
      <c r="D27" s="157"/>
      <c r="E27" s="157"/>
      <c r="F27" s="157"/>
      <c r="G27" s="157"/>
      <c r="H27" s="157"/>
      <c r="I27" s="157"/>
      <c r="J27" s="157"/>
      <c r="K27" s="157"/>
      <c r="L27" s="157"/>
      <c r="M27" s="157"/>
      <c r="N27" s="157"/>
      <c r="O27" s="157"/>
      <c r="P27" s="157"/>
      <c r="Q27" s="157"/>
      <c r="R27" s="178"/>
      <c r="S27" s="178"/>
      <c r="T27" s="178"/>
      <c r="U27" s="179"/>
      <c r="V27" s="178"/>
    </row>
    <row r="28" ht="20" customHeight="1" spans="1:22">
      <c r="A28" s="158" t="s">
        <v>318</v>
      </c>
      <c r="B28" s="157"/>
      <c r="C28" s="157"/>
      <c r="D28" s="157"/>
      <c r="E28" s="157"/>
      <c r="F28" s="157"/>
      <c r="G28" s="157"/>
      <c r="H28" s="157"/>
      <c r="I28" s="157"/>
      <c r="J28" s="157"/>
      <c r="K28" s="157"/>
      <c r="L28" s="157"/>
      <c r="M28" s="157"/>
      <c r="N28" s="157"/>
      <c r="O28" s="157"/>
      <c r="P28" s="157"/>
      <c r="Q28" s="157"/>
      <c r="R28" s="178"/>
      <c r="S28" s="178"/>
      <c r="T28" s="178"/>
      <c r="U28" s="179"/>
      <c r="V28" s="178"/>
    </row>
    <row r="29" ht="20" customHeight="1" spans="1:22">
      <c r="A29" s="159" t="s">
        <v>319</v>
      </c>
      <c r="B29" s="157"/>
      <c r="C29" s="157"/>
      <c r="D29" s="157"/>
      <c r="E29" s="157"/>
      <c r="F29" s="157"/>
      <c r="G29" s="157"/>
      <c r="H29" s="157"/>
      <c r="I29" s="157"/>
      <c r="J29" s="157"/>
      <c r="K29" s="157"/>
      <c r="L29" s="157"/>
      <c r="M29" s="157"/>
      <c r="N29" s="157"/>
      <c r="O29" s="157"/>
      <c r="P29" s="157"/>
      <c r="Q29" s="157"/>
      <c r="R29" s="178"/>
      <c r="S29" s="178"/>
      <c r="T29" s="178"/>
      <c r="U29" s="178"/>
      <c r="V29" s="178"/>
    </row>
  </sheetData>
  <mergeCells count="8">
    <mergeCell ref="A1:V1"/>
    <mergeCell ref="E3:T3"/>
    <mergeCell ref="A3:A4"/>
    <mergeCell ref="B3:B4"/>
    <mergeCell ref="C3:C4"/>
    <mergeCell ref="D3:D4"/>
    <mergeCell ref="U3:U4"/>
    <mergeCell ref="V3:V4"/>
  </mergeCells>
  <pageMargins left="0.75" right="0.75" top="1" bottom="1" header="0.511805555555556" footer="0.511805555555556"/>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outlinePr summaryRight="0"/>
  </sheetPr>
  <dimension ref="A1:W23"/>
  <sheetViews>
    <sheetView showGridLines="0" workbookViewId="0">
      <selection activeCell="A1" sqref="A1:W1"/>
    </sheetView>
  </sheetViews>
  <sheetFormatPr defaultColWidth="9" defaultRowHeight="14.25"/>
  <cols>
    <col min="1" max="1" width="11.9166666666667" style="6" customWidth="1"/>
    <col min="2" max="2" width="8.91666666666667" style="6" customWidth="1"/>
    <col min="3" max="3" width="6.125" style="6" customWidth="1"/>
    <col min="4" max="4" width="8.5" style="6" customWidth="1"/>
    <col min="5" max="5" width="9.125" style="6" customWidth="1"/>
    <col min="6" max="22" width="8.58333333333333" style="6" customWidth="1"/>
    <col min="23" max="23" width="12.4166666666667" style="6" customWidth="1"/>
    <col min="24" max="16384" width="9" style="6"/>
  </cols>
  <sheetData>
    <row r="1" s="99" customFormat="1" ht="24.75" spans="1:23">
      <c r="A1" s="100" t="s">
        <v>320</v>
      </c>
      <c r="B1" s="100"/>
      <c r="C1" s="100"/>
      <c r="D1" s="100"/>
      <c r="E1" s="100"/>
      <c r="F1" s="100"/>
      <c r="G1" s="100"/>
      <c r="H1" s="100"/>
      <c r="I1" s="100"/>
      <c r="J1" s="100"/>
      <c r="K1" s="100"/>
      <c r="L1" s="100"/>
      <c r="M1" s="100"/>
      <c r="N1" s="100"/>
      <c r="O1" s="100"/>
      <c r="P1" s="100"/>
      <c r="Q1" s="100"/>
      <c r="R1" s="100"/>
      <c r="S1" s="100"/>
      <c r="T1" s="100"/>
      <c r="U1" s="100"/>
      <c r="V1" s="100"/>
      <c r="W1" s="100"/>
    </row>
    <row r="2" s="1" customFormat="1" ht="23" customHeight="1" spans="1:18">
      <c r="A2" s="1" t="s">
        <v>1</v>
      </c>
      <c r="J2" s="1" t="s">
        <v>2</v>
      </c>
      <c r="R2" s="1" t="s">
        <v>3</v>
      </c>
    </row>
    <row r="3" s="83" customFormat="1" ht="22" customHeight="1" spans="1:23">
      <c r="A3" s="55" t="s">
        <v>321</v>
      </c>
      <c r="B3" s="35" t="s">
        <v>322</v>
      </c>
      <c r="C3" s="35" t="s">
        <v>323</v>
      </c>
      <c r="D3" s="35" t="s">
        <v>324</v>
      </c>
      <c r="E3" s="9" t="s">
        <v>325</v>
      </c>
      <c r="F3" s="101" t="s">
        <v>280</v>
      </c>
      <c r="G3" s="102"/>
      <c r="H3" s="102"/>
      <c r="I3" s="102"/>
      <c r="J3" s="102"/>
      <c r="K3" s="102"/>
      <c r="L3" s="102"/>
      <c r="M3" s="102"/>
      <c r="N3" s="102"/>
      <c r="O3" s="102"/>
      <c r="P3" s="102"/>
      <c r="Q3" s="102"/>
      <c r="R3" s="102"/>
      <c r="S3" s="102"/>
      <c r="T3" s="102"/>
      <c r="U3" s="120"/>
      <c r="V3" s="121" t="s">
        <v>326</v>
      </c>
      <c r="W3" s="36" t="s">
        <v>81</v>
      </c>
    </row>
    <row r="4" s="83" customFormat="1" ht="22" customHeight="1" spans="1:23">
      <c r="A4" s="57"/>
      <c r="B4" s="39"/>
      <c r="C4" s="39"/>
      <c r="D4" s="39"/>
      <c r="E4" s="11"/>
      <c r="F4" s="12" t="s">
        <v>281</v>
      </c>
      <c r="G4" s="13" t="s">
        <v>83</v>
      </c>
      <c r="H4" s="13" t="s">
        <v>84</v>
      </c>
      <c r="I4" s="28" t="s">
        <v>85</v>
      </c>
      <c r="J4" s="29" t="s">
        <v>282</v>
      </c>
      <c r="K4" s="13" t="s">
        <v>87</v>
      </c>
      <c r="L4" s="13" t="s">
        <v>88</v>
      </c>
      <c r="M4" s="14" t="s">
        <v>89</v>
      </c>
      <c r="N4" s="12" t="s">
        <v>283</v>
      </c>
      <c r="O4" s="13" t="s">
        <v>91</v>
      </c>
      <c r="P4" s="13" t="s">
        <v>92</v>
      </c>
      <c r="Q4" s="28" t="s">
        <v>93</v>
      </c>
      <c r="R4" s="29" t="s">
        <v>284</v>
      </c>
      <c r="S4" s="13" t="s">
        <v>95</v>
      </c>
      <c r="T4" s="13" t="s">
        <v>96</v>
      </c>
      <c r="U4" s="28" t="s">
        <v>97</v>
      </c>
      <c r="V4" s="122"/>
      <c r="W4" s="40"/>
    </row>
    <row r="5" s="5" customFormat="1" ht="20.1" customHeight="1" spans="1:23">
      <c r="A5" s="103" t="s">
        <v>327</v>
      </c>
      <c r="B5" s="86"/>
      <c r="C5" s="60"/>
      <c r="D5" s="60"/>
      <c r="E5" s="84"/>
      <c r="F5" s="16">
        <f>SUM(G5:I5)</f>
        <v>0</v>
      </c>
      <c r="G5" s="60"/>
      <c r="H5" s="60"/>
      <c r="I5" s="61"/>
      <c r="J5" s="71">
        <f>SUM(K5:M5)</f>
        <v>0</v>
      </c>
      <c r="K5" s="60"/>
      <c r="L5" s="60"/>
      <c r="M5" s="84"/>
      <c r="N5" s="69">
        <f>SUM(O5:Q5)</f>
        <v>0</v>
      </c>
      <c r="O5" s="60"/>
      <c r="P5" s="60"/>
      <c r="Q5" s="61"/>
      <c r="R5" s="71">
        <f>SUM(S5:U5)</f>
        <v>0</v>
      </c>
      <c r="S5" s="60"/>
      <c r="T5" s="60"/>
      <c r="U5" s="84"/>
      <c r="V5" s="69">
        <f>F5+J5+N5+R5</f>
        <v>0</v>
      </c>
      <c r="W5" s="87"/>
    </row>
    <row r="6" s="5" customFormat="1" ht="20.1" customHeight="1" spans="1:23">
      <c r="A6" s="104" t="s">
        <v>328</v>
      </c>
      <c r="B6" s="88"/>
      <c r="C6" s="64"/>
      <c r="D6" s="64"/>
      <c r="E6" s="85"/>
      <c r="F6" s="16">
        <f>SUM(G6:I6)</f>
        <v>0</v>
      </c>
      <c r="G6" s="64"/>
      <c r="H6" s="64"/>
      <c r="I6" s="65"/>
      <c r="J6" s="71">
        <f t="shared" ref="J6:J19" si="0">SUM(K6:M6)</f>
        <v>0</v>
      </c>
      <c r="K6" s="64"/>
      <c r="L6" s="64"/>
      <c r="M6" s="85"/>
      <c r="N6" s="69">
        <f t="shared" ref="N6:N19" si="1">SUM(O6:Q6)</f>
        <v>0</v>
      </c>
      <c r="O6" s="64"/>
      <c r="P6" s="64"/>
      <c r="Q6" s="65"/>
      <c r="R6" s="71">
        <f t="shared" ref="R6:R19" si="2">SUM(S6:U6)</f>
        <v>0</v>
      </c>
      <c r="S6" s="64"/>
      <c r="T6" s="64"/>
      <c r="U6" s="85"/>
      <c r="V6" s="69">
        <f t="shared" ref="V6:V21" si="3">F6+J6+N6+R6</f>
        <v>0</v>
      </c>
      <c r="W6" s="89"/>
    </row>
    <row r="7" s="5" customFormat="1" ht="20.1" customHeight="1" spans="1:23">
      <c r="A7" s="104"/>
      <c r="B7" s="88"/>
      <c r="C7" s="64"/>
      <c r="D7" s="64"/>
      <c r="E7" s="85"/>
      <c r="F7" s="16">
        <f>SUM(G7:I7)</f>
        <v>0</v>
      </c>
      <c r="G7" s="64"/>
      <c r="H7" s="64"/>
      <c r="I7" s="65"/>
      <c r="J7" s="71">
        <f t="shared" si="0"/>
        <v>0</v>
      </c>
      <c r="K7" s="64"/>
      <c r="L7" s="64"/>
      <c r="M7" s="85"/>
      <c r="N7" s="69">
        <f t="shared" si="1"/>
        <v>0</v>
      </c>
      <c r="O7" s="64"/>
      <c r="P7" s="64"/>
      <c r="Q7" s="65"/>
      <c r="R7" s="71">
        <f t="shared" si="2"/>
        <v>0</v>
      </c>
      <c r="S7" s="64"/>
      <c r="T7" s="64"/>
      <c r="U7" s="85"/>
      <c r="V7" s="69">
        <f t="shared" si="3"/>
        <v>0</v>
      </c>
      <c r="W7" s="89"/>
    </row>
    <row r="8" s="5" customFormat="1" ht="20.1" customHeight="1" spans="1:23">
      <c r="A8" s="104"/>
      <c r="B8" s="88"/>
      <c r="C8" s="64"/>
      <c r="D8" s="64"/>
      <c r="E8" s="85"/>
      <c r="F8" s="16">
        <f>SUM(G8:I8)</f>
        <v>0</v>
      </c>
      <c r="G8" s="64"/>
      <c r="H8" s="64"/>
      <c r="I8" s="65"/>
      <c r="J8" s="71">
        <f t="shared" si="0"/>
        <v>0</v>
      </c>
      <c r="K8" s="64"/>
      <c r="L8" s="64"/>
      <c r="M8" s="85"/>
      <c r="N8" s="69">
        <f t="shared" si="1"/>
        <v>0</v>
      </c>
      <c r="O8" s="64"/>
      <c r="P8" s="64"/>
      <c r="Q8" s="65"/>
      <c r="R8" s="71">
        <f t="shared" si="2"/>
        <v>0</v>
      </c>
      <c r="S8" s="64"/>
      <c r="T8" s="64"/>
      <c r="U8" s="85"/>
      <c r="V8" s="69">
        <f t="shared" si="3"/>
        <v>0</v>
      </c>
      <c r="W8" s="89"/>
    </row>
    <row r="9" s="5" customFormat="1" ht="20.1" customHeight="1" spans="1:23">
      <c r="A9" s="105"/>
      <c r="B9" s="106"/>
      <c r="C9" s="107"/>
      <c r="D9" s="107"/>
      <c r="E9" s="108"/>
      <c r="F9" s="16">
        <f t="shared" ref="F9:F19" si="4">SUM(G9:I9)</f>
        <v>0</v>
      </c>
      <c r="G9" s="107"/>
      <c r="H9" s="107"/>
      <c r="I9" s="118"/>
      <c r="J9" s="71">
        <f t="shared" si="0"/>
        <v>0</v>
      </c>
      <c r="K9" s="107"/>
      <c r="L9" s="107"/>
      <c r="M9" s="108"/>
      <c r="N9" s="69">
        <f t="shared" si="1"/>
        <v>0</v>
      </c>
      <c r="O9" s="107"/>
      <c r="P9" s="107"/>
      <c r="Q9" s="118"/>
      <c r="R9" s="71">
        <f t="shared" si="2"/>
        <v>0</v>
      </c>
      <c r="S9" s="107"/>
      <c r="T9" s="107"/>
      <c r="U9" s="108"/>
      <c r="V9" s="69">
        <f t="shared" si="3"/>
        <v>0</v>
      </c>
      <c r="W9" s="123"/>
    </row>
    <row r="10" s="5" customFormat="1" ht="20.1" customHeight="1" spans="1:23">
      <c r="A10" s="109" t="s">
        <v>109</v>
      </c>
      <c r="B10" s="110"/>
      <c r="C10" s="68">
        <f>SUM(C5:C9)</f>
        <v>0</v>
      </c>
      <c r="D10" s="68">
        <f>SUM(D5:D9)</f>
        <v>0</v>
      </c>
      <c r="E10" s="67">
        <f>SUM(E5:E9)</f>
        <v>0</v>
      </c>
      <c r="F10" s="111">
        <f t="shared" si="4"/>
        <v>0</v>
      </c>
      <c r="G10" s="112">
        <f t="shared" ref="F10:U10" si="5">SUM(G5:G9)</f>
        <v>0</v>
      </c>
      <c r="H10" s="112">
        <f t="shared" si="5"/>
        <v>0</v>
      </c>
      <c r="I10" s="112">
        <f t="shared" si="5"/>
        <v>0</v>
      </c>
      <c r="J10" s="119">
        <f t="shared" si="0"/>
        <v>0</v>
      </c>
      <c r="K10" s="112">
        <f t="shared" si="5"/>
        <v>0</v>
      </c>
      <c r="L10" s="112">
        <f t="shared" si="5"/>
        <v>0</v>
      </c>
      <c r="M10" s="112">
        <f t="shared" si="5"/>
        <v>0</v>
      </c>
      <c r="N10" s="119">
        <f t="shared" si="1"/>
        <v>0</v>
      </c>
      <c r="O10" s="112">
        <f t="shared" si="5"/>
        <v>0</v>
      </c>
      <c r="P10" s="112">
        <f t="shared" si="5"/>
        <v>0</v>
      </c>
      <c r="Q10" s="67">
        <f t="shared" si="5"/>
        <v>0</v>
      </c>
      <c r="R10" s="119">
        <f t="shared" si="2"/>
        <v>0</v>
      </c>
      <c r="S10" s="112">
        <f t="shared" si="5"/>
        <v>0</v>
      </c>
      <c r="T10" s="112">
        <f t="shared" si="5"/>
        <v>0</v>
      </c>
      <c r="U10" s="67">
        <f t="shared" si="5"/>
        <v>0</v>
      </c>
      <c r="V10" s="90">
        <f t="shared" si="3"/>
        <v>0</v>
      </c>
      <c r="W10" s="95"/>
    </row>
    <row r="11" s="5" customFormat="1" ht="20.1" customHeight="1" spans="1:23">
      <c r="A11" s="103" t="s">
        <v>329</v>
      </c>
      <c r="B11" s="86"/>
      <c r="C11" s="60"/>
      <c r="D11" s="60"/>
      <c r="E11" s="84"/>
      <c r="F11" s="16">
        <f t="shared" si="4"/>
        <v>0</v>
      </c>
      <c r="G11" s="60"/>
      <c r="H11" s="60"/>
      <c r="I11" s="61"/>
      <c r="J11" s="71">
        <f t="shared" si="0"/>
        <v>0</v>
      </c>
      <c r="K11" s="60"/>
      <c r="L11" s="60"/>
      <c r="M11" s="84"/>
      <c r="N11" s="69">
        <f t="shared" si="1"/>
        <v>0</v>
      </c>
      <c r="O11" s="60"/>
      <c r="P11" s="60"/>
      <c r="Q11" s="61"/>
      <c r="R11" s="71">
        <f t="shared" si="2"/>
        <v>0</v>
      </c>
      <c r="S11" s="60"/>
      <c r="T11" s="60"/>
      <c r="U11" s="84"/>
      <c r="V11" s="69">
        <f t="shared" si="3"/>
        <v>0</v>
      </c>
      <c r="W11" s="87"/>
    </row>
    <row r="12" s="5" customFormat="1" ht="20.1" customHeight="1" spans="1:23">
      <c r="A12" s="104"/>
      <c r="B12" s="88"/>
      <c r="C12" s="64"/>
      <c r="D12" s="64"/>
      <c r="E12" s="85"/>
      <c r="F12" s="16">
        <f t="shared" si="4"/>
        <v>0</v>
      </c>
      <c r="G12" s="64"/>
      <c r="H12" s="64"/>
      <c r="I12" s="65"/>
      <c r="J12" s="71">
        <f t="shared" si="0"/>
        <v>0</v>
      </c>
      <c r="K12" s="64"/>
      <c r="L12" s="64"/>
      <c r="M12" s="85"/>
      <c r="N12" s="69">
        <f t="shared" si="1"/>
        <v>0</v>
      </c>
      <c r="O12" s="64"/>
      <c r="P12" s="64"/>
      <c r="Q12" s="65"/>
      <c r="R12" s="71">
        <f t="shared" si="2"/>
        <v>0</v>
      </c>
      <c r="S12" s="64"/>
      <c r="T12" s="64"/>
      <c r="U12" s="85"/>
      <c r="V12" s="69">
        <f t="shared" si="3"/>
        <v>0</v>
      </c>
      <c r="W12" s="89"/>
    </row>
    <row r="13" s="5" customFormat="1" ht="20.1" customHeight="1" spans="1:23">
      <c r="A13" s="104"/>
      <c r="B13" s="88"/>
      <c r="C13" s="64"/>
      <c r="D13" s="64"/>
      <c r="E13" s="85"/>
      <c r="F13" s="16">
        <f t="shared" si="4"/>
        <v>0</v>
      </c>
      <c r="G13" s="64"/>
      <c r="H13" s="64"/>
      <c r="I13" s="65"/>
      <c r="J13" s="71">
        <f t="shared" si="0"/>
        <v>0</v>
      </c>
      <c r="K13" s="64"/>
      <c r="L13" s="64"/>
      <c r="M13" s="85"/>
      <c r="N13" s="69">
        <f t="shared" si="1"/>
        <v>0</v>
      </c>
      <c r="O13" s="64"/>
      <c r="P13" s="64"/>
      <c r="Q13" s="65"/>
      <c r="R13" s="71">
        <f t="shared" si="2"/>
        <v>0</v>
      </c>
      <c r="S13" s="64"/>
      <c r="T13" s="64"/>
      <c r="U13" s="85"/>
      <c r="V13" s="69">
        <f t="shared" si="3"/>
        <v>0</v>
      </c>
      <c r="W13" s="89"/>
    </row>
    <row r="14" s="5" customFormat="1" ht="20.1" customHeight="1" spans="1:23">
      <c r="A14" s="105"/>
      <c r="B14" s="106"/>
      <c r="C14" s="107"/>
      <c r="D14" s="107"/>
      <c r="E14" s="108"/>
      <c r="F14" s="16">
        <f t="shared" si="4"/>
        <v>0</v>
      </c>
      <c r="G14" s="107"/>
      <c r="H14" s="107"/>
      <c r="I14" s="118"/>
      <c r="J14" s="71">
        <f t="shared" si="0"/>
        <v>0</v>
      </c>
      <c r="K14" s="107"/>
      <c r="L14" s="107"/>
      <c r="M14" s="108"/>
      <c r="N14" s="69">
        <f t="shared" si="1"/>
        <v>0</v>
      </c>
      <c r="O14" s="107"/>
      <c r="P14" s="107"/>
      <c r="Q14" s="118"/>
      <c r="R14" s="71">
        <f t="shared" si="2"/>
        <v>0</v>
      </c>
      <c r="S14" s="107"/>
      <c r="T14" s="107"/>
      <c r="U14" s="108"/>
      <c r="V14" s="69">
        <f t="shared" si="3"/>
        <v>0</v>
      </c>
      <c r="W14" s="123"/>
    </row>
    <row r="15" s="5" customFormat="1" ht="20.1" customHeight="1" spans="1:23">
      <c r="A15" s="109" t="s">
        <v>109</v>
      </c>
      <c r="B15" s="110"/>
      <c r="C15" s="68">
        <f>SUM(C11:C14)</f>
        <v>0</v>
      </c>
      <c r="D15" s="68">
        <f>SUM(D11:D14)</f>
        <v>0</v>
      </c>
      <c r="E15" s="112">
        <f>SUM(E11:E14)</f>
        <v>0</v>
      </c>
      <c r="F15" s="113">
        <f t="shared" si="4"/>
        <v>0</v>
      </c>
      <c r="G15" s="112">
        <f t="shared" ref="F15:U15" si="6">SUM(G11:G14)</f>
        <v>0</v>
      </c>
      <c r="H15" s="68">
        <f t="shared" si="6"/>
        <v>0</v>
      </c>
      <c r="I15" s="112">
        <f t="shared" si="6"/>
        <v>0</v>
      </c>
      <c r="J15" s="119">
        <f t="shared" si="0"/>
        <v>0</v>
      </c>
      <c r="K15" s="112">
        <f t="shared" si="6"/>
        <v>0</v>
      </c>
      <c r="L15" s="68">
        <f t="shared" si="6"/>
        <v>0</v>
      </c>
      <c r="M15" s="67">
        <f t="shared" si="6"/>
        <v>0</v>
      </c>
      <c r="N15" s="90">
        <f t="shared" si="1"/>
        <v>0</v>
      </c>
      <c r="O15" s="112">
        <f t="shared" si="6"/>
        <v>0</v>
      </c>
      <c r="P15" s="68">
        <f t="shared" si="6"/>
        <v>0</v>
      </c>
      <c r="Q15" s="67">
        <f t="shared" si="6"/>
        <v>0</v>
      </c>
      <c r="R15" s="119">
        <f t="shared" si="2"/>
        <v>0</v>
      </c>
      <c r="S15" s="112">
        <f t="shared" si="6"/>
        <v>0</v>
      </c>
      <c r="T15" s="68">
        <f t="shared" si="6"/>
        <v>0</v>
      </c>
      <c r="U15" s="67">
        <f t="shared" si="6"/>
        <v>0</v>
      </c>
      <c r="V15" s="90">
        <f t="shared" si="3"/>
        <v>0</v>
      </c>
      <c r="W15" s="95"/>
    </row>
    <row r="16" s="5" customFormat="1" ht="20.1" customHeight="1" spans="1:23">
      <c r="A16" s="103" t="s">
        <v>330</v>
      </c>
      <c r="B16" s="86"/>
      <c r="C16" s="60"/>
      <c r="D16" s="60"/>
      <c r="E16" s="84"/>
      <c r="F16" s="16">
        <f t="shared" si="4"/>
        <v>0</v>
      </c>
      <c r="G16" s="60"/>
      <c r="H16" s="60"/>
      <c r="I16" s="61"/>
      <c r="J16" s="71">
        <f t="shared" si="0"/>
        <v>0</v>
      </c>
      <c r="K16" s="60"/>
      <c r="L16" s="60"/>
      <c r="M16" s="84"/>
      <c r="N16" s="69">
        <f t="shared" si="1"/>
        <v>0</v>
      </c>
      <c r="O16" s="60"/>
      <c r="P16" s="60"/>
      <c r="Q16" s="61"/>
      <c r="R16" s="71">
        <f t="shared" si="2"/>
        <v>0</v>
      </c>
      <c r="S16" s="60"/>
      <c r="T16" s="60"/>
      <c r="U16" s="84"/>
      <c r="V16" s="69">
        <f t="shared" si="3"/>
        <v>0</v>
      </c>
      <c r="W16" s="87"/>
    </row>
    <row r="17" s="5" customFormat="1" ht="20.1" customHeight="1" spans="1:23">
      <c r="A17" s="104"/>
      <c r="B17" s="88"/>
      <c r="C17" s="64"/>
      <c r="D17" s="64"/>
      <c r="E17" s="85"/>
      <c r="F17" s="16">
        <f t="shared" si="4"/>
        <v>0</v>
      </c>
      <c r="G17" s="64"/>
      <c r="H17" s="64"/>
      <c r="I17" s="65"/>
      <c r="J17" s="71">
        <f t="shared" si="0"/>
        <v>0</v>
      </c>
      <c r="K17" s="64"/>
      <c r="L17" s="64"/>
      <c r="M17" s="85"/>
      <c r="N17" s="69">
        <f t="shared" si="1"/>
        <v>0</v>
      </c>
      <c r="O17" s="64"/>
      <c r="P17" s="64"/>
      <c r="Q17" s="65"/>
      <c r="R17" s="71">
        <f t="shared" si="2"/>
        <v>0</v>
      </c>
      <c r="S17" s="64"/>
      <c r="T17" s="64"/>
      <c r="U17" s="85"/>
      <c r="V17" s="69">
        <f t="shared" si="3"/>
        <v>0</v>
      </c>
      <c r="W17" s="89"/>
    </row>
    <row r="18" s="5" customFormat="1" ht="20.1" customHeight="1" spans="1:23">
      <c r="A18" s="104"/>
      <c r="B18" s="88"/>
      <c r="C18" s="64"/>
      <c r="D18" s="64"/>
      <c r="E18" s="85"/>
      <c r="F18" s="16">
        <f t="shared" si="4"/>
        <v>0</v>
      </c>
      <c r="G18" s="64"/>
      <c r="H18" s="64"/>
      <c r="I18" s="65"/>
      <c r="J18" s="71">
        <f t="shared" si="0"/>
        <v>0</v>
      </c>
      <c r="K18" s="64"/>
      <c r="L18" s="64"/>
      <c r="M18" s="85"/>
      <c r="N18" s="69">
        <f t="shared" si="1"/>
        <v>0</v>
      </c>
      <c r="O18" s="64"/>
      <c r="P18" s="64"/>
      <c r="Q18" s="65"/>
      <c r="R18" s="71">
        <f t="shared" si="2"/>
        <v>0</v>
      </c>
      <c r="S18" s="64"/>
      <c r="T18" s="64"/>
      <c r="U18" s="85"/>
      <c r="V18" s="69">
        <f t="shared" si="3"/>
        <v>0</v>
      </c>
      <c r="W18" s="89"/>
    </row>
    <row r="19" s="5" customFormat="1" ht="20.1" customHeight="1" spans="1:23">
      <c r="A19" s="105"/>
      <c r="B19" s="106"/>
      <c r="C19" s="107"/>
      <c r="D19" s="107"/>
      <c r="E19" s="108"/>
      <c r="F19" s="16">
        <f t="shared" si="4"/>
        <v>0</v>
      </c>
      <c r="G19" s="107"/>
      <c r="H19" s="107"/>
      <c r="I19" s="118"/>
      <c r="J19" s="71">
        <f t="shared" si="0"/>
        <v>0</v>
      </c>
      <c r="K19" s="107"/>
      <c r="L19" s="107"/>
      <c r="M19" s="108"/>
      <c r="N19" s="69">
        <f t="shared" si="1"/>
        <v>0</v>
      </c>
      <c r="O19" s="107"/>
      <c r="P19" s="107"/>
      <c r="Q19" s="118"/>
      <c r="R19" s="71">
        <f t="shared" si="2"/>
        <v>0</v>
      </c>
      <c r="S19" s="107"/>
      <c r="T19" s="107"/>
      <c r="U19" s="108"/>
      <c r="V19" s="69">
        <f t="shared" si="3"/>
        <v>0</v>
      </c>
      <c r="W19" s="123"/>
    </row>
    <row r="20" s="83" customFormat="1" ht="20.1" customHeight="1" spans="1:23">
      <c r="A20" s="114" t="s">
        <v>109</v>
      </c>
      <c r="B20" s="110"/>
      <c r="C20" s="68">
        <f>SUM(C16:C19)</f>
        <v>0</v>
      </c>
      <c r="D20" s="68">
        <f>SUM(D16:D19)</f>
        <v>0</v>
      </c>
      <c r="E20" s="67">
        <f>SUM(E16:E19)</f>
        <v>0</v>
      </c>
      <c r="F20" s="68">
        <f t="shared" ref="F20:U20" si="7">SUM(F16:F19)</f>
        <v>0</v>
      </c>
      <c r="G20" s="68">
        <f t="shared" si="7"/>
        <v>0</v>
      </c>
      <c r="H20" s="68">
        <f t="shared" si="7"/>
        <v>0</v>
      </c>
      <c r="I20" s="67">
        <f t="shared" si="7"/>
        <v>0</v>
      </c>
      <c r="J20" s="68">
        <f t="shared" si="7"/>
        <v>0</v>
      </c>
      <c r="K20" s="112">
        <f t="shared" si="7"/>
        <v>0</v>
      </c>
      <c r="L20" s="68">
        <f t="shared" si="7"/>
        <v>0</v>
      </c>
      <c r="M20" s="67">
        <f t="shared" si="7"/>
        <v>0</v>
      </c>
      <c r="N20" s="68">
        <f t="shared" si="7"/>
        <v>0</v>
      </c>
      <c r="O20" s="68">
        <f t="shared" si="7"/>
        <v>0</v>
      </c>
      <c r="P20" s="68">
        <f t="shared" si="7"/>
        <v>0</v>
      </c>
      <c r="Q20" s="67">
        <f t="shared" si="7"/>
        <v>0</v>
      </c>
      <c r="R20" s="68">
        <f t="shared" si="7"/>
        <v>0</v>
      </c>
      <c r="S20" s="68">
        <f t="shared" si="7"/>
        <v>0</v>
      </c>
      <c r="T20" s="68">
        <f t="shared" si="7"/>
        <v>0</v>
      </c>
      <c r="U20" s="67">
        <f t="shared" si="7"/>
        <v>0</v>
      </c>
      <c r="V20" s="90">
        <f t="shared" si="3"/>
        <v>0</v>
      </c>
      <c r="W20" s="124"/>
    </row>
    <row r="21" s="83" customFormat="1" ht="20.1" customHeight="1" spans="1:23">
      <c r="A21" s="78" t="s">
        <v>331</v>
      </c>
      <c r="B21" s="115"/>
      <c r="C21" s="80">
        <f>C10+C15+C20</f>
        <v>0</v>
      </c>
      <c r="D21" s="80">
        <f>D10+D15+D20</f>
        <v>0</v>
      </c>
      <c r="E21" s="79">
        <f>E10+E15+E20</f>
        <v>0</v>
      </c>
      <c r="F21" s="80">
        <f t="shared" ref="F21:U21" si="8">F10+F15+F20</f>
        <v>0</v>
      </c>
      <c r="G21" s="116">
        <f t="shared" si="8"/>
        <v>0</v>
      </c>
      <c r="H21" s="80">
        <f t="shared" si="8"/>
        <v>0</v>
      </c>
      <c r="I21" s="79">
        <f t="shared" si="8"/>
        <v>0</v>
      </c>
      <c r="J21" s="80">
        <f t="shared" si="8"/>
        <v>0</v>
      </c>
      <c r="K21" s="116">
        <f t="shared" si="8"/>
        <v>0</v>
      </c>
      <c r="L21" s="80">
        <f t="shared" si="8"/>
        <v>0</v>
      </c>
      <c r="M21" s="79">
        <f t="shared" si="8"/>
        <v>0</v>
      </c>
      <c r="N21" s="80">
        <f t="shared" si="8"/>
        <v>0</v>
      </c>
      <c r="O21" s="116">
        <f t="shared" si="8"/>
        <v>0</v>
      </c>
      <c r="P21" s="80">
        <f t="shared" si="8"/>
        <v>0</v>
      </c>
      <c r="Q21" s="79">
        <f t="shared" si="8"/>
        <v>0</v>
      </c>
      <c r="R21" s="80">
        <f t="shared" si="8"/>
        <v>0</v>
      </c>
      <c r="S21" s="80">
        <f t="shared" si="8"/>
        <v>0</v>
      </c>
      <c r="T21" s="80">
        <f t="shared" si="8"/>
        <v>0</v>
      </c>
      <c r="U21" s="79">
        <f t="shared" si="8"/>
        <v>0</v>
      </c>
      <c r="V21" s="125">
        <f t="shared" si="3"/>
        <v>0</v>
      </c>
      <c r="W21" s="126"/>
    </row>
    <row r="22" spans="2:22">
      <c r="B22" s="117"/>
      <c r="C22" s="117"/>
      <c r="D22" s="117"/>
      <c r="E22" s="117"/>
      <c r="F22" s="117"/>
      <c r="G22" s="117"/>
      <c r="H22" s="117"/>
      <c r="I22" s="117"/>
      <c r="J22" s="117"/>
      <c r="K22" s="117"/>
      <c r="L22" s="117"/>
      <c r="M22" s="117"/>
      <c r="N22" s="117"/>
      <c r="O22" s="117"/>
      <c r="P22" s="117"/>
      <c r="Q22" s="117"/>
      <c r="R22" s="117"/>
      <c r="S22" s="117"/>
      <c r="T22" s="117"/>
      <c r="U22" s="117"/>
      <c r="V22" s="117"/>
    </row>
    <row r="23" s="5" customFormat="1" ht="16.5" spans="1:1">
      <c r="A23" s="5" t="s">
        <v>332</v>
      </c>
    </row>
  </sheetData>
  <mergeCells count="9">
    <mergeCell ref="A1:W1"/>
    <mergeCell ref="F3:U3"/>
    <mergeCell ref="A3:A4"/>
    <mergeCell ref="B3:B4"/>
    <mergeCell ref="C3:C4"/>
    <mergeCell ref="D3:D4"/>
    <mergeCell ref="E3:E4"/>
    <mergeCell ref="V3:V4"/>
    <mergeCell ref="W3:W4"/>
  </mergeCells>
  <printOptions horizontalCentered="1"/>
  <pageMargins left="0.668055555555556" right="0.747916666666667" top="0.479166666666667" bottom="0.45" header="0.229166666666667" footer="0.279166666666667"/>
  <pageSetup paperSize="9" orientation="landscape" verticalDpi="1200"/>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outlinePr summaryRight="0"/>
  </sheetPr>
  <dimension ref="A1:U28"/>
  <sheetViews>
    <sheetView showGridLines="0" topLeftCell="A4" workbookViewId="0">
      <selection activeCell="A1" sqref="A1:U1"/>
    </sheetView>
  </sheetViews>
  <sheetFormatPr defaultColWidth="9" defaultRowHeight="14.25"/>
  <cols>
    <col min="1" max="1" width="28.9166666666667" style="52" customWidth="1"/>
    <col min="2" max="2" width="9.625" style="6" customWidth="1"/>
    <col min="3" max="15" width="8.58333333333333" style="6" customWidth="1"/>
    <col min="16" max="18" width="8" style="6" customWidth="1"/>
    <col min="19" max="19" width="16" style="6" customWidth="1"/>
    <col min="20" max="20" width="13.3333333333333" style="6" customWidth="1"/>
    <col min="21" max="21" width="12.25" style="6" customWidth="1"/>
    <col min="22" max="16384" width="9" style="6"/>
  </cols>
  <sheetData>
    <row r="1" ht="24.75" spans="1:21">
      <c r="A1" s="53" t="s">
        <v>333</v>
      </c>
      <c r="B1" s="54"/>
      <c r="C1" s="54"/>
      <c r="D1" s="54"/>
      <c r="E1" s="54"/>
      <c r="F1" s="54"/>
      <c r="G1" s="54"/>
      <c r="H1" s="54"/>
      <c r="I1" s="54"/>
      <c r="J1" s="54"/>
      <c r="K1" s="54"/>
      <c r="L1" s="54"/>
      <c r="M1" s="54"/>
      <c r="N1" s="54"/>
      <c r="O1" s="54"/>
      <c r="P1" s="54"/>
      <c r="Q1" s="54"/>
      <c r="R1" s="54"/>
      <c r="S1" s="54"/>
      <c r="T1" s="54"/>
      <c r="U1" s="54"/>
    </row>
    <row r="2" s="1" customFormat="1" ht="23" customHeight="1" spans="1:19">
      <c r="A2" s="1" t="s">
        <v>1</v>
      </c>
      <c r="K2" s="1" t="s">
        <v>2</v>
      </c>
      <c r="S2" s="1" t="s">
        <v>3</v>
      </c>
    </row>
    <row r="3" s="51" customFormat="1" ht="22" customHeight="1" spans="1:21">
      <c r="A3" s="55" t="s">
        <v>300</v>
      </c>
      <c r="B3" s="9" t="s">
        <v>301</v>
      </c>
      <c r="C3" s="56" t="s">
        <v>334</v>
      </c>
      <c r="D3" s="56"/>
      <c r="E3" s="56"/>
      <c r="F3" s="56"/>
      <c r="G3" s="56"/>
      <c r="H3" s="56"/>
      <c r="I3" s="56"/>
      <c r="J3" s="56"/>
      <c r="K3" s="56"/>
      <c r="L3" s="56"/>
      <c r="M3" s="56"/>
      <c r="N3" s="56"/>
      <c r="O3" s="56"/>
      <c r="P3" s="56"/>
      <c r="Q3" s="56"/>
      <c r="R3" s="56"/>
      <c r="S3" s="33" t="s">
        <v>22</v>
      </c>
      <c r="T3" s="35" t="s">
        <v>303</v>
      </c>
      <c r="U3" s="36" t="s">
        <v>81</v>
      </c>
    </row>
    <row r="4" s="51" customFormat="1" ht="22" customHeight="1" spans="1:21">
      <c r="A4" s="57"/>
      <c r="B4" s="11"/>
      <c r="C4" s="12" t="s">
        <v>281</v>
      </c>
      <c r="D4" s="13" t="s">
        <v>83</v>
      </c>
      <c r="E4" s="13" t="s">
        <v>84</v>
      </c>
      <c r="F4" s="28" t="s">
        <v>85</v>
      </c>
      <c r="G4" s="29" t="s">
        <v>282</v>
      </c>
      <c r="H4" s="13" t="s">
        <v>87</v>
      </c>
      <c r="I4" s="13" t="s">
        <v>88</v>
      </c>
      <c r="J4" s="14" t="s">
        <v>89</v>
      </c>
      <c r="K4" s="12" t="s">
        <v>283</v>
      </c>
      <c r="L4" s="13" t="s">
        <v>91</v>
      </c>
      <c r="M4" s="13" t="s">
        <v>92</v>
      </c>
      <c r="N4" s="28" t="s">
        <v>93</v>
      </c>
      <c r="O4" s="29" t="s">
        <v>284</v>
      </c>
      <c r="P4" s="13" t="s">
        <v>95</v>
      </c>
      <c r="Q4" s="13" t="s">
        <v>96</v>
      </c>
      <c r="R4" s="28" t="s">
        <v>97</v>
      </c>
      <c r="S4" s="37"/>
      <c r="T4" s="39"/>
      <c r="U4" s="40"/>
    </row>
    <row r="5" s="5" customFormat="1" ht="22" customHeight="1" spans="1:21">
      <c r="A5" s="58" t="s">
        <v>335</v>
      </c>
      <c r="B5" s="59"/>
      <c r="C5" s="16">
        <f>SUM(D5:F5)</f>
        <v>0</v>
      </c>
      <c r="D5" s="60"/>
      <c r="E5" s="60"/>
      <c r="F5" s="61"/>
      <c r="G5" s="31">
        <f>SUM(H5:J5)</f>
        <v>0</v>
      </c>
      <c r="H5" s="60"/>
      <c r="I5" s="60"/>
      <c r="J5" s="84"/>
      <c r="K5" s="16">
        <f>SUM(L5:N5)</f>
        <v>0</v>
      </c>
      <c r="L5" s="60"/>
      <c r="M5" s="60"/>
      <c r="N5" s="61"/>
      <c r="O5" s="31">
        <f>SUM(P5:R5)</f>
        <v>0</v>
      </c>
      <c r="P5" s="60"/>
      <c r="Q5" s="60"/>
      <c r="R5" s="84"/>
      <c r="S5" s="69">
        <f>C5+G5+K5+O5</f>
        <v>0</v>
      </c>
      <c r="T5" s="86"/>
      <c r="U5" s="87"/>
    </row>
    <row r="6" s="5" customFormat="1" ht="22" customHeight="1" spans="1:21">
      <c r="A6" s="62">
        <v>1</v>
      </c>
      <c r="B6" s="63"/>
      <c r="C6" s="16">
        <f>SUM(D6:F6)</f>
        <v>0</v>
      </c>
      <c r="D6" s="64"/>
      <c r="E6" s="64"/>
      <c r="F6" s="65"/>
      <c r="G6" s="31">
        <f>SUM(H6:J6)</f>
        <v>0</v>
      </c>
      <c r="H6" s="64"/>
      <c r="I6" s="64"/>
      <c r="J6" s="85"/>
      <c r="K6" s="16">
        <f>SUM(L6:N6)</f>
        <v>0</v>
      </c>
      <c r="L6" s="64"/>
      <c r="M6" s="64"/>
      <c r="N6" s="65"/>
      <c r="O6" s="31">
        <f>SUM(P6:R6)</f>
        <v>0</v>
      </c>
      <c r="P6" s="64"/>
      <c r="Q6" s="64"/>
      <c r="R6" s="85"/>
      <c r="S6" s="69">
        <f>C6+G6+K6+O6</f>
        <v>0</v>
      </c>
      <c r="T6" s="88"/>
      <c r="U6" s="89"/>
    </row>
    <row r="7" s="5" customFormat="1" ht="22" customHeight="1" spans="1:21">
      <c r="A7" s="62">
        <v>2</v>
      </c>
      <c r="B7" s="63"/>
      <c r="C7" s="16">
        <f>SUM(D7:F7)</f>
        <v>0</v>
      </c>
      <c r="D7" s="64"/>
      <c r="E7" s="64"/>
      <c r="F7" s="65"/>
      <c r="G7" s="31">
        <f>SUM(H7:J7)</f>
        <v>0</v>
      </c>
      <c r="H7" s="64"/>
      <c r="I7" s="64"/>
      <c r="J7" s="85"/>
      <c r="K7" s="16">
        <f>SUM(L7:N7)</f>
        <v>0</v>
      </c>
      <c r="L7" s="64"/>
      <c r="M7" s="64"/>
      <c r="N7" s="65"/>
      <c r="O7" s="31">
        <f>SUM(P7:R7)</f>
        <v>0</v>
      </c>
      <c r="P7" s="64"/>
      <c r="Q7" s="64"/>
      <c r="R7" s="85"/>
      <c r="S7" s="69">
        <f>C7+G7+K7+O7</f>
        <v>0</v>
      </c>
      <c r="T7" s="88"/>
      <c r="U7" s="89"/>
    </row>
    <row r="8" s="5" customFormat="1" ht="22" customHeight="1" spans="1:21">
      <c r="A8" s="66" t="s">
        <v>336</v>
      </c>
      <c r="B8" s="67">
        <f>SUM(B5:B7)</f>
        <v>0</v>
      </c>
      <c r="C8" s="68">
        <f t="shared" ref="C8:R8" si="0">SUM(C5:C7)</f>
        <v>0</v>
      </c>
      <c r="D8" s="68">
        <f t="shared" si="0"/>
        <v>0</v>
      </c>
      <c r="E8" s="68">
        <f t="shared" si="0"/>
        <v>0</v>
      </c>
      <c r="F8" s="67">
        <f t="shared" si="0"/>
        <v>0</v>
      </c>
      <c r="G8" s="68">
        <f t="shared" si="0"/>
        <v>0</v>
      </c>
      <c r="H8" s="68">
        <f t="shared" si="0"/>
        <v>0</v>
      </c>
      <c r="I8" s="68">
        <f t="shared" si="0"/>
        <v>0</v>
      </c>
      <c r="J8" s="67">
        <f t="shared" si="0"/>
        <v>0</v>
      </c>
      <c r="K8" s="68">
        <f t="shared" si="0"/>
        <v>0</v>
      </c>
      <c r="L8" s="68">
        <f t="shared" si="0"/>
        <v>0</v>
      </c>
      <c r="M8" s="68">
        <f t="shared" si="0"/>
        <v>0</v>
      </c>
      <c r="N8" s="67">
        <f t="shared" si="0"/>
        <v>0</v>
      </c>
      <c r="O8" s="68">
        <f t="shared" si="0"/>
        <v>0</v>
      </c>
      <c r="P8" s="68">
        <f t="shared" si="0"/>
        <v>0</v>
      </c>
      <c r="Q8" s="68">
        <f t="shared" si="0"/>
        <v>0</v>
      </c>
      <c r="R8" s="67">
        <f t="shared" si="0"/>
        <v>0</v>
      </c>
      <c r="S8" s="90">
        <f>C8+G8+K8+O8</f>
        <v>0</v>
      </c>
      <c r="T8" s="91"/>
      <c r="U8" s="92"/>
    </row>
    <row r="9" s="5" customFormat="1" ht="22" customHeight="1" spans="1:21">
      <c r="A9" s="58" t="s">
        <v>337</v>
      </c>
      <c r="B9" s="59"/>
      <c r="C9" s="69">
        <f>SUM(D9:F9)</f>
        <v>0</v>
      </c>
      <c r="D9" s="60"/>
      <c r="E9" s="60"/>
      <c r="F9" s="61"/>
      <c r="G9" s="31">
        <f>SUM(H9:J9)</f>
        <v>0</v>
      </c>
      <c r="H9" s="60"/>
      <c r="I9" s="60"/>
      <c r="J9" s="84"/>
      <c r="K9" s="69">
        <f>SUM(L9:N9)</f>
        <v>0</v>
      </c>
      <c r="L9" s="60"/>
      <c r="M9" s="60"/>
      <c r="N9" s="61"/>
      <c r="O9" s="71">
        <f>SUM(P9:R9)</f>
        <v>0</v>
      </c>
      <c r="P9" s="60"/>
      <c r="Q9" s="60"/>
      <c r="R9" s="84"/>
      <c r="S9" s="69">
        <f t="shared" ref="S9:S20" si="1">C9+G9+K9+O9</f>
        <v>0</v>
      </c>
      <c r="T9" s="86"/>
      <c r="U9" s="87"/>
    </row>
    <row r="10" s="5" customFormat="1" ht="22" customHeight="1" spans="1:21">
      <c r="A10" s="62">
        <v>1</v>
      </c>
      <c r="B10" s="70"/>
      <c r="C10" s="69">
        <f>SUM(D10:F10)</f>
        <v>0</v>
      </c>
      <c r="D10" s="64"/>
      <c r="E10" s="64"/>
      <c r="F10" s="65"/>
      <c r="G10" s="31">
        <f>SUM(H10:J10)</f>
        <v>0</v>
      </c>
      <c r="H10" s="64"/>
      <c r="I10" s="64"/>
      <c r="J10" s="85"/>
      <c r="K10" s="69">
        <f>SUM(L10:N10)</f>
        <v>0</v>
      </c>
      <c r="L10" s="64"/>
      <c r="M10" s="64"/>
      <c r="N10" s="65"/>
      <c r="O10" s="71">
        <f>SUM(P10:R10)</f>
        <v>0</v>
      </c>
      <c r="P10" s="64"/>
      <c r="Q10" s="64"/>
      <c r="R10" s="85"/>
      <c r="S10" s="69">
        <f t="shared" si="1"/>
        <v>0</v>
      </c>
      <c r="T10" s="88"/>
      <c r="U10" s="89"/>
    </row>
    <row r="11" s="5" customFormat="1" ht="22" customHeight="1" spans="1:21">
      <c r="A11" s="62">
        <v>2</v>
      </c>
      <c r="B11" s="70"/>
      <c r="C11" s="69">
        <f>SUM(D11:F11)</f>
        <v>0</v>
      </c>
      <c r="D11" s="64"/>
      <c r="E11" s="64"/>
      <c r="F11" s="65"/>
      <c r="G11" s="31">
        <f>SUM(H11:J11)</f>
        <v>0</v>
      </c>
      <c r="H11" s="64"/>
      <c r="I11" s="64"/>
      <c r="J11" s="85"/>
      <c r="K11" s="69">
        <f>SUM(L11:N11)</f>
        <v>0</v>
      </c>
      <c r="L11" s="64"/>
      <c r="M11" s="64"/>
      <c r="N11" s="65"/>
      <c r="O11" s="71">
        <f>SUM(P11:R11)</f>
        <v>0</v>
      </c>
      <c r="P11" s="64"/>
      <c r="Q11" s="64"/>
      <c r="R11" s="85"/>
      <c r="S11" s="69">
        <f t="shared" si="1"/>
        <v>0</v>
      </c>
      <c r="T11" s="88"/>
      <c r="U11" s="89"/>
    </row>
    <row r="12" s="5" customFormat="1" ht="22" customHeight="1" spans="1:21">
      <c r="A12" s="66" t="s">
        <v>336</v>
      </c>
      <c r="B12" s="67">
        <f>SUM(B9:B11)</f>
        <v>0</v>
      </c>
      <c r="C12" s="68">
        <f t="shared" ref="C12:R12" si="2">SUM(C9:C11)</f>
        <v>0</v>
      </c>
      <c r="D12" s="68">
        <f t="shared" si="2"/>
        <v>0</v>
      </c>
      <c r="E12" s="68">
        <f t="shared" si="2"/>
        <v>0</v>
      </c>
      <c r="F12" s="67">
        <f t="shared" si="2"/>
        <v>0</v>
      </c>
      <c r="G12" s="68">
        <f t="shared" si="2"/>
        <v>0</v>
      </c>
      <c r="H12" s="68">
        <f t="shared" si="2"/>
        <v>0</v>
      </c>
      <c r="I12" s="68">
        <f t="shared" si="2"/>
        <v>0</v>
      </c>
      <c r="J12" s="67">
        <f t="shared" si="2"/>
        <v>0</v>
      </c>
      <c r="K12" s="68">
        <f t="shared" si="2"/>
        <v>0</v>
      </c>
      <c r="L12" s="68">
        <f t="shared" si="2"/>
        <v>0</v>
      </c>
      <c r="M12" s="68">
        <f t="shared" si="2"/>
        <v>0</v>
      </c>
      <c r="N12" s="67">
        <f t="shared" si="2"/>
        <v>0</v>
      </c>
      <c r="O12" s="68">
        <f t="shared" si="2"/>
        <v>0</v>
      </c>
      <c r="P12" s="68">
        <f t="shared" si="2"/>
        <v>0</v>
      </c>
      <c r="Q12" s="68">
        <f t="shared" si="2"/>
        <v>0</v>
      </c>
      <c r="R12" s="67">
        <f t="shared" si="2"/>
        <v>0</v>
      </c>
      <c r="S12" s="93">
        <f t="shared" si="1"/>
        <v>0</v>
      </c>
      <c r="T12" s="94"/>
      <c r="U12" s="95"/>
    </row>
    <row r="13" s="5" customFormat="1" ht="22" customHeight="1" spans="1:21">
      <c r="A13" s="58" t="s">
        <v>338</v>
      </c>
      <c r="B13" s="59"/>
      <c r="C13" s="16">
        <f>SUM(D13:F13)</f>
        <v>0</v>
      </c>
      <c r="D13" s="60"/>
      <c r="E13" s="60"/>
      <c r="F13" s="61"/>
      <c r="G13" s="71">
        <f>SUM(H13:J13)</f>
        <v>0</v>
      </c>
      <c r="H13" s="60"/>
      <c r="I13" s="60"/>
      <c r="J13" s="84"/>
      <c r="K13" s="16">
        <f>SUM(L13:N13)</f>
        <v>0</v>
      </c>
      <c r="L13" s="60"/>
      <c r="M13" s="60"/>
      <c r="N13" s="61"/>
      <c r="O13" s="31">
        <f>SUM(P13:R13)</f>
        <v>0</v>
      </c>
      <c r="P13" s="60"/>
      <c r="Q13" s="60"/>
      <c r="R13" s="84"/>
      <c r="S13" s="96">
        <f t="shared" si="1"/>
        <v>0</v>
      </c>
      <c r="T13" s="86"/>
      <c r="U13" s="87"/>
    </row>
    <row r="14" s="5" customFormat="1" ht="22" customHeight="1" spans="1:21">
      <c r="A14" s="62">
        <v>1</v>
      </c>
      <c r="B14" s="70"/>
      <c r="C14" s="16">
        <f>SUM(D14:F14)</f>
        <v>0</v>
      </c>
      <c r="D14" s="64"/>
      <c r="E14" s="64"/>
      <c r="F14" s="65"/>
      <c r="G14" s="71">
        <f>SUM(H14:J14)</f>
        <v>0</v>
      </c>
      <c r="H14" s="64"/>
      <c r="I14" s="64"/>
      <c r="J14" s="85"/>
      <c r="K14" s="16">
        <f>SUM(L14:N14)</f>
        <v>0</v>
      </c>
      <c r="L14" s="64"/>
      <c r="M14" s="64"/>
      <c r="N14" s="65"/>
      <c r="O14" s="31">
        <f>SUM(P14:R14)</f>
        <v>0</v>
      </c>
      <c r="P14" s="64"/>
      <c r="Q14" s="64"/>
      <c r="R14" s="85"/>
      <c r="S14" s="69">
        <f t="shared" si="1"/>
        <v>0</v>
      </c>
      <c r="T14" s="88"/>
      <c r="U14" s="89"/>
    </row>
    <row r="15" s="5" customFormat="1" ht="22" customHeight="1" spans="1:21">
      <c r="A15" s="62">
        <v>2</v>
      </c>
      <c r="B15" s="70"/>
      <c r="C15" s="16">
        <f>SUM(D15:F15)</f>
        <v>0</v>
      </c>
      <c r="D15" s="64"/>
      <c r="E15" s="64"/>
      <c r="F15" s="65"/>
      <c r="G15" s="71">
        <f>SUM(H15:J15)</f>
        <v>0</v>
      </c>
      <c r="H15" s="64"/>
      <c r="I15" s="64"/>
      <c r="J15" s="85"/>
      <c r="K15" s="16">
        <f>SUM(L15:N15)</f>
        <v>0</v>
      </c>
      <c r="L15" s="64"/>
      <c r="M15" s="64"/>
      <c r="N15" s="65"/>
      <c r="O15" s="31">
        <f>SUM(P15:R15)</f>
        <v>0</v>
      </c>
      <c r="P15" s="64"/>
      <c r="Q15" s="64"/>
      <c r="R15" s="85"/>
      <c r="S15" s="69">
        <f t="shared" si="1"/>
        <v>0</v>
      </c>
      <c r="T15" s="88"/>
      <c r="U15" s="89"/>
    </row>
    <row r="16" s="5" customFormat="1" ht="22" customHeight="1" spans="1:21">
      <c r="A16" s="66" t="s">
        <v>339</v>
      </c>
      <c r="B16" s="67">
        <f>SUM(B13:B15)</f>
        <v>0</v>
      </c>
      <c r="C16" s="68">
        <f t="shared" ref="C16:R16" si="3">SUM(C13:C15)</f>
        <v>0</v>
      </c>
      <c r="D16" s="68">
        <f t="shared" si="3"/>
        <v>0</v>
      </c>
      <c r="E16" s="68">
        <f t="shared" si="3"/>
        <v>0</v>
      </c>
      <c r="F16" s="67">
        <f t="shared" si="3"/>
        <v>0</v>
      </c>
      <c r="G16" s="68">
        <f t="shared" si="3"/>
        <v>0</v>
      </c>
      <c r="H16" s="68">
        <f t="shared" si="3"/>
        <v>0</v>
      </c>
      <c r="I16" s="68">
        <f t="shared" si="3"/>
        <v>0</v>
      </c>
      <c r="J16" s="67">
        <f t="shared" si="3"/>
        <v>0</v>
      </c>
      <c r="K16" s="68">
        <f t="shared" si="3"/>
        <v>0</v>
      </c>
      <c r="L16" s="68">
        <f t="shared" si="3"/>
        <v>0</v>
      </c>
      <c r="M16" s="68">
        <f t="shared" si="3"/>
        <v>0</v>
      </c>
      <c r="N16" s="67">
        <f t="shared" si="3"/>
        <v>0</v>
      </c>
      <c r="O16" s="68">
        <f t="shared" si="3"/>
        <v>0</v>
      </c>
      <c r="P16" s="68">
        <f t="shared" si="3"/>
        <v>0</v>
      </c>
      <c r="Q16" s="68">
        <f t="shared" si="3"/>
        <v>0</v>
      </c>
      <c r="R16" s="67">
        <f t="shared" si="3"/>
        <v>0</v>
      </c>
      <c r="S16" s="90">
        <f t="shared" si="1"/>
        <v>0</v>
      </c>
      <c r="T16" s="91"/>
      <c r="U16" s="92"/>
    </row>
    <row r="17" s="5" customFormat="1" ht="22" customHeight="1" spans="1:21">
      <c r="A17" s="58" t="s">
        <v>340</v>
      </c>
      <c r="B17" s="59"/>
      <c r="C17" s="72"/>
      <c r="D17" s="60"/>
      <c r="E17" s="60"/>
      <c r="F17" s="61"/>
      <c r="G17" s="73"/>
      <c r="H17" s="60"/>
      <c r="I17" s="60"/>
      <c r="J17" s="84"/>
      <c r="K17" s="72"/>
      <c r="L17" s="60"/>
      <c r="M17" s="60"/>
      <c r="N17" s="61"/>
      <c r="O17" s="73"/>
      <c r="P17" s="60"/>
      <c r="Q17" s="60"/>
      <c r="R17" s="84"/>
      <c r="S17" s="69">
        <f t="shared" si="1"/>
        <v>0</v>
      </c>
      <c r="T17" s="86"/>
      <c r="U17" s="87"/>
    </row>
    <row r="18" s="5" customFormat="1" ht="22" customHeight="1" spans="1:21">
      <c r="A18" s="62">
        <v>1</v>
      </c>
      <c r="B18" s="70"/>
      <c r="C18" s="74"/>
      <c r="D18" s="64"/>
      <c r="E18" s="64"/>
      <c r="F18" s="65"/>
      <c r="G18" s="75"/>
      <c r="H18" s="64"/>
      <c r="I18" s="64"/>
      <c r="J18" s="85"/>
      <c r="K18" s="74"/>
      <c r="L18" s="64"/>
      <c r="M18" s="64"/>
      <c r="N18" s="65"/>
      <c r="O18" s="75"/>
      <c r="P18" s="64"/>
      <c r="Q18" s="64"/>
      <c r="R18" s="85"/>
      <c r="S18" s="69">
        <f t="shared" si="1"/>
        <v>0</v>
      </c>
      <c r="T18" s="88"/>
      <c r="U18" s="89"/>
    </row>
    <row r="19" s="5" customFormat="1" ht="22" customHeight="1" spans="1:21">
      <c r="A19" s="62">
        <v>2</v>
      </c>
      <c r="B19" s="63"/>
      <c r="C19" s="74"/>
      <c r="D19" s="76"/>
      <c r="E19" s="76"/>
      <c r="F19" s="77"/>
      <c r="G19" s="75"/>
      <c r="H19" s="76"/>
      <c r="I19" s="76"/>
      <c r="J19" s="63"/>
      <c r="K19" s="74"/>
      <c r="L19" s="76"/>
      <c r="M19" s="76"/>
      <c r="N19" s="77"/>
      <c r="O19" s="75"/>
      <c r="P19" s="76"/>
      <c r="Q19" s="76"/>
      <c r="R19" s="63"/>
      <c r="S19" s="69">
        <f t="shared" si="1"/>
        <v>0</v>
      </c>
      <c r="T19" s="88"/>
      <c r="U19" s="89"/>
    </row>
    <row r="20" s="5" customFormat="1" ht="22" customHeight="1" spans="1:21">
      <c r="A20" s="66" t="s">
        <v>339</v>
      </c>
      <c r="B20" s="67">
        <f>SUM(B17:B19)</f>
        <v>0</v>
      </c>
      <c r="C20" s="68">
        <f t="shared" ref="C20:R20" si="4">SUM(C17:C19)</f>
        <v>0</v>
      </c>
      <c r="D20" s="68">
        <f t="shared" si="4"/>
        <v>0</v>
      </c>
      <c r="E20" s="68">
        <f t="shared" si="4"/>
        <v>0</v>
      </c>
      <c r="F20" s="67">
        <f t="shared" si="4"/>
        <v>0</v>
      </c>
      <c r="G20" s="68">
        <f t="shared" si="4"/>
        <v>0</v>
      </c>
      <c r="H20" s="68">
        <f t="shared" si="4"/>
        <v>0</v>
      </c>
      <c r="I20" s="68">
        <f t="shared" si="4"/>
        <v>0</v>
      </c>
      <c r="J20" s="67">
        <f t="shared" si="4"/>
        <v>0</v>
      </c>
      <c r="K20" s="68">
        <f t="shared" si="4"/>
        <v>0</v>
      </c>
      <c r="L20" s="68">
        <f t="shared" si="4"/>
        <v>0</v>
      </c>
      <c r="M20" s="68">
        <f t="shared" si="4"/>
        <v>0</v>
      </c>
      <c r="N20" s="67">
        <f t="shared" si="4"/>
        <v>0</v>
      </c>
      <c r="O20" s="68">
        <f t="shared" si="4"/>
        <v>0</v>
      </c>
      <c r="P20" s="68">
        <f t="shared" si="4"/>
        <v>0</v>
      </c>
      <c r="Q20" s="68">
        <f t="shared" si="4"/>
        <v>0</v>
      </c>
      <c r="R20" s="67">
        <f t="shared" si="4"/>
        <v>0</v>
      </c>
      <c r="S20" s="90">
        <f t="shared" si="1"/>
        <v>0</v>
      </c>
      <c r="T20" s="91"/>
      <c r="U20" s="92"/>
    </row>
    <row r="21" s="5" customFormat="1" ht="22" customHeight="1" spans="1:21">
      <c r="A21" s="78" t="s">
        <v>112</v>
      </c>
      <c r="B21" s="79">
        <f>B8+B12+B16+B20</f>
        <v>0</v>
      </c>
      <c r="C21" s="80">
        <f t="shared" ref="C21:S21" si="5">C8+C12+C16+C20</f>
        <v>0</v>
      </c>
      <c r="D21" s="80">
        <f t="shared" si="5"/>
        <v>0</v>
      </c>
      <c r="E21" s="80">
        <f t="shared" si="5"/>
        <v>0</v>
      </c>
      <c r="F21" s="79">
        <f t="shared" si="5"/>
        <v>0</v>
      </c>
      <c r="G21" s="80">
        <f t="shared" si="5"/>
        <v>0</v>
      </c>
      <c r="H21" s="80">
        <f t="shared" si="5"/>
        <v>0</v>
      </c>
      <c r="I21" s="80">
        <f t="shared" si="5"/>
        <v>0</v>
      </c>
      <c r="J21" s="79">
        <f t="shared" si="5"/>
        <v>0</v>
      </c>
      <c r="K21" s="80">
        <f t="shared" si="5"/>
        <v>0</v>
      </c>
      <c r="L21" s="80">
        <f t="shared" si="5"/>
        <v>0</v>
      </c>
      <c r="M21" s="80">
        <f t="shared" si="5"/>
        <v>0</v>
      </c>
      <c r="N21" s="79">
        <f t="shared" si="5"/>
        <v>0</v>
      </c>
      <c r="O21" s="80">
        <f t="shared" si="5"/>
        <v>0</v>
      </c>
      <c r="P21" s="80">
        <f t="shared" si="5"/>
        <v>0</v>
      </c>
      <c r="Q21" s="80">
        <f t="shared" si="5"/>
        <v>0</v>
      </c>
      <c r="R21" s="79">
        <f t="shared" si="5"/>
        <v>0</v>
      </c>
      <c r="S21" s="79">
        <f t="shared" si="5"/>
        <v>0</v>
      </c>
      <c r="T21" s="97"/>
      <c r="U21" s="98"/>
    </row>
    <row r="22" s="5" customFormat="1" ht="20" customHeight="1" spans="1:21">
      <c r="A22" s="81" t="s">
        <v>113</v>
      </c>
      <c r="T22" s="50"/>
      <c r="U22" s="50"/>
    </row>
    <row r="23" s="5" customFormat="1" ht="20" customHeight="1" spans="1:1">
      <c r="A23" s="82" t="s">
        <v>313</v>
      </c>
    </row>
    <row r="24" s="5" customFormat="1" ht="20" customHeight="1" spans="1:1">
      <c r="A24" s="82" t="s">
        <v>341</v>
      </c>
    </row>
    <row r="25" s="5" customFormat="1" ht="20" customHeight="1" spans="1:1">
      <c r="A25" s="82" t="s">
        <v>342</v>
      </c>
    </row>
    <row r="26" s="5" customFormat="1" ht="20" customHeight="1" spans="1:1">
      <c r="A26" s="82" t="s">
        <v>343</v>
      </c>
    </row>
    <row r="27" s="5" customFormat="1" ht="20" customHeight="1" spans="1:1">
      <c r="A27" s="82" t="s">
        <v>344</v>
      </c>
    </row>
    <row r="28" s="5" customFormat="1" ht="16.5" spans="1:1">
      <c r="A28" s="83"/>
    </row>
  </sheetData>
  <mergeCells count="8">
    <mergeCell ref="A1:U1"/>
    <mergeCell ref="C3:R3"/>
    <mergeCell ref="T22:U22"/>
    <mergeCell ref="A3:A4"/>
    <mergeCell ref="B3:B4"/>
    <mergeCell ref="S3:S4"/>
    <mergeCell ref="T3:T4"/>
    <mergeCell ref="U3:U4"/>
  </mergeCells>
  <printOptions horizontalCentered="1"/>
  <pageMargins left="0.55" right="0.55" top="0.36875" bottom="0.338888888888889" header="0.118055555555556" footer="0.259027777777778"/>
  <pageSetup paperSize="9" scale="95" orientation="landscape" verticalDpi="1200"/>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outlinePr summaryRight="0"/>
  </sheetPr>
  <dimension ref="A1:V16"/>
  <sheetViews>
    <sheetView showGridLines="0" tabSelected="1" workbookViewId="0">
      <selection activeCell="A3" sqref="A3:A4"/>
    </sheetView>
  </sheetViews>
  <sheetFormatPr defaultColWidth="9" defaultRowHeight="14.25"/>
  <cols>
    <col min="1" max="1" width="18.375" style="6" customWidth="1"/>
    <col min="2" max="2" width="12.375" style="6" customWidth="1"/>
    <col min="3" max="3" width="12" style="6" customWidth="1"/>
    <col min="4" max="4" width="11.125" style="6" customWidth="1"/>
    <col min="5" max="5" width="13.125" style="6" customWidth="1"/>
    <col min="6" max="6" width="13.75" style="6" customWidth="1"/>
    <col min="7" max="8" width="12.25" style="6" customWidth="1"/>
    <col min="9" max="9" width="11.25" style="6" customWidth="1"/>
    <col min="10" max="10" width="12.5" style="6" customWidth="1"/>
    <col min="11" max="11" width="11.75" style="6" customWidth="1"/>
    <col min="12" max="12" width="12.625" style="6" customWidth="1"/>
    <col min="13" max="13" width="10.75" style="6" customWidth="1"/>
    <col min="14" max="14" width="13.125" style="6" customWidth="1"/>
    <col min="15" max="15" width="13.625" style="6" customWidth="1"/>
    <col min="16" max="16" width="12.25" style="6" customWidth="1"/>
    <col min="17" max="17" width="15.625" style="6" customWidth="1"/>
    <col min="18" max="18" width="14.25" style="6" customWidth="1"/>
    <col min="19" max="19" width="10" style="6" customWidth="1"/>
    <col min="20" max="20" width="12.875" style="6" customWidth="1"/>
    <col min="21" max="21" width="10.8333333333333" style="6" customWidth="1"/>
    <col min="22" max="22" width="11.125" style="6" customWidth="1"/>
    <col min="23" max="23" width="9" style="6"/>
    <col min="24" max="24" width="6.375" style="6" customWidth="1"/>
    <col min="25" max="25" width="12.5" style="6" customWidth="1"/>
    <col min="26" max="16384" width="9" style="6"/>
  </cols>
  <sheetData>
    <row r="1" ht="24" customHeight="1" spans="1:22">
      <c r="A1" s="7" t="s">
        <v>345</v>
      </c>
      <c r="B1" s="7"/>
      <c r="C1" s="7"/>
      <c r="D1" s="7"/>
      <c r="E1" s="7"/>
      <c r="F1" s="7"/>
      <c r="G1" s="7"/>
      <c r="H1" s="7"/>
      <c r="I1" s="7"/>
      <c r="J1" s="7"/>
      <c r="K1" s="7"/>
      <c r="L1" s="7"/>
      <c r="M1" s="7"/>
      <c r="N1" s="7"/>
      <c r="O1" s="7"/>
      <c r="P1" s="7"/>
      <c r="Q1" s="7"/>
      <c r="R1" s="7"/>
      <c r="S1" s="7"/>
      <c r="T1" s="7"/>
      <c r="U1" s="7"/>
      <c r="V1" s="7"/>
    </row>
    <row r="2" s="1" customFormat="1" ht="23" customHeight="1" spans="1:19">
      <c r="A2" s="8" t="s">
        <v>1</v>
      </c>
      <c r="J2" s="1" t="s">
        <v>2</v>
      </c>
      <c r="S2" s="1" t="s">
        <v>3</v>
      </c>
    </row>
    <row r="3" s="2" customFormat="1" ht="22" customHeight="1" spans="1:22">
      <c r="A3" s="9" t="s">
        <v>4</v>
      </c>
      <c r="B3" s="10" t="s">
        <v>217</v>
      </c>
      <c r="C3" s="10"/>
      <c r="D3" s="10"/>
      <c r="E3" s="10"/>
      <c r="F3" s="10"/>
      <c r="G3" s="10"/>
      <c r="H3" s="10"/>
      <c r="I3" s="10"/>
      <c r="J3" s="10"/>
      <c r="K3" s="10"/>
      <c r="L3" s="10"/>
      <c r="M3" s="10"/>
      <c r="N3" s="10"/>
      <c r="O3" s="10"/>
      <c r="P3" s="10"/>
      <c r="Q3" s="10"/>
      <c r="R3" s="33" t="s">
        <v>346</v>
      </c>
      <c r="S3" s="34" t="s">
        <v>126</v>
      </c>
      <c r="T3" s="34" t="s">
        <v>127</v>
      </c>
      <c r="U3" s="35" t="s">
        <v>347</v>
      </c>
      <c r="V3" s="36" t="s">
        <v>81</v>
      </c>
    </row>
    <row r="4" s="3" customFormat="1" ht="22" customHeight="1" spans="1:22">
      <c r="A4" s="11"/>
      <c r="B4" s="12" t="s">
        <v>281</v>
      </c>
      <c r="C4" s="13" t="s">
        <v>83</v>
      </c>
      <c r="D4" s="13" t="s">
        <v>84</v>
      </c>
      <c r="E4" s="14" t="s">
        <v>85</v>
      </c>
      <c r="F4" s="12" t="s">
        <v>282</v>
      </c>
      <c r="G4" s="13" t="s">
        <v>87</v>
      </c>
      <c r="H4" s="13" t="s">
        <v>88</v>
      </c>
      <c r="I4" s="28" t="s">
        <v>89</v>
      </c>
      <c r="J4" s="29" t="s">
        <v>283</v>
      </c>
      <c r="K4" s="13" t="s">
        <v>91</v>
      </c>
      <c r="L4" s="13" t="s">
        <v>92</v>
      </c>
      <c r="M4" s="14" t="s">
        <v>93</v>
      </c>
      <c r="N4" s="12" t="s">
        <v>284</v>
      </c>
      <c r="O4" s="13" t="s">
        <v>95</v>
      </c>
      <c r="P4" s="13" t="s">
        <v>96</v>
      </c>
      <c r="Q4" s="28" t="s">
        <v>97</v>
      </c>
      <c r="R4" s="37"/>
      <c r="S4" s="38"/>
      <c r="T4" s="38"/>
      <c r="U4" s="39"/>
      <c r="V4" s="40"/>
    </row>
    <row r="5" s="2" customFormat="1" ht="22" customHeight="1" spans="1:22">
      <c r="A5" s="15" t="s">
        <v>348</v>
      </c>
      <c r="B5" s="16">
        <f>SUM(C5:E5)</f>
        <v>0</v>
      </c>
      <c r="C5" s="17"/>
      <c r="D5" s="17"/>
      <c r="E5" s="18"/>
      <c r="F5" s="16">
        <f>SUM(G5:I5)</f>
        <v>0</v>
      </c>
      <c r="G5" s="17"/>
      <c r="H5" s="17"/>
      <c r="I5" s="30"/>
      <c r="J5" s="31">
        <f>SUM(K5:M5)</f>
        <v>0</v>
      </c>
      <c r="K5" s="17"/>
      <c r="L5" s="17"/>
      <c r="M5" s="18"/>
      <c r="N5" s="16">
        <f>SUM(O5:Q5)</f>
        <v>0</v>
      </c>
      <c r="O5" s="17"/>
      <c r="P5" s="17"/>
      <c r="Q5" s="30"/>
      <c r="R5" s="31">
        <f>B5+F5+J5+N5</f>
        <v>0</v>
      </c>
      <c r="S5" s="17"/>
      <c r="T5" s="17">
        <f>R5-S5</f>
        <v>0</v>
      </c>
      <c r="U5" s="41" t="e">
        <f>T5/R5</f>
        <v>#DIV/0!</v>
      </c>
      <c r="V5" s="42"/>
    </row>
    <row r="6" s="2" customFormat="1" ht="22" customHeight="1" spans="1:22">
      <c r="A6" s="19" t="s">
        <v>349</v>
      </c>
      <c r="B6" s="16">
        <f t="shared" ref="B6:B13" si="0">SUM(C6:E6)</f>
        <v>0</v>
      </c>
      <c r="C6" s="20"/>
      <c r="D6" s="20"/>
      <c r="E6" s="21"/>
      <c r="F6" s="16">
        <f t="shared" ref="F6:F12" si="1">SUM(G6:I6)</f>
        <v>0</v>
      </c>
      <c r="G6" s="20"/>
      <c r="H6" s="20"/>
      <c r="I6" s="32"/>
      <c r="J6" s="31">
        <f t="shared" ref="J6:J12" si="2">SUM(K6:M6)</f>
        <v>0</v>
      </c>
      <c r="K6" s="20"/>
      <c r="L6" s="20"/>
      <c r="M6" s="21"/>
      <c r="N6" s="16">
        <f t="shared" ref="N6:N12" si="3">SUM(O6:Q6)</f>
        <v>0</v>
      </c>
      <c r="O6" s="20"/>
      <c r="P6" s="20"/>
      <c r="Q6" s="32"/>
      <c r="R6" s="31">
        <f t="shared" ref="R6:R13" si="4">B6+F6+J6+N6</f>
        <v>0</v>
      </c>
      <c r="S6" s="20"/>
      <c r="T6" s="17">
        <f t="shared" ref="T6:T13" si="5">R6-S6</f>
        <v>0</v>
      </c>
      <c r="U6" s="41" t="e">
        <f t="shared" ref="U6:U13" si="6">T6/R6</f>
        <v>#DIV/0!</v>
      </c>
      <c r="V6" s="43"/>
    </row>
    <row r="7" s="2" customFormat="1" ht="22" customHeight="1" spans="1:22">
      <c r="A7" s="19" t="s">
        <v>350</v>
      </c>
      <c r="B7" s="16">
        <f t="shared" si="0"/>
        <v>0</v>
      </c>
      <c r="C7" s="20"/>
      <c r="D7" s="20"/>
      <c r="E7" s="21"/>
      <c r="F7" s="16">
        <f t="shared" si="1"/>
        <v>0</v>
      </c>
      <c r="G7" s="20"/>
      <c r="H7" s="20"/>
      <c r="I7" s="32"/>
      <c r="J7" s="31">
        <f t="shared" si="2"/>
        <v>0</v>
      </c>
      <c r="K7" s="20"/>
      <c r="L7" s="20"/>
      <c r="M7" s="21"/>
      <c r="N7" s="16">
        <f t="shared" si="3"/>
        <v>0</v>
      </c>
      <c r="O7" s="20"/>
      <c r="P7" s="20"/>
      <c r="Q7" s="32"/>
      <c r="R7" s="31">
        <f t="shared" si="4"/>
        <v>0</v>
      </c>
      <c r="S7" s="20"/>
      <c r="T7" s="17">
        <f t="shared" si="5"/>
        <v>0</v>
      </c>
      <c r="U7" s="41" t="e">
        <f t="shared" si="6"/>
        <v>#DIV/0!</v>
      </c>
      <c r="V7" s="43"/>
    </row>
    <row r="8" s="2" customFormat="1" ht="22" customHeight="1" spans="1:22">
      <c r="A8" s="19" t="s">
        <v>351</v>
      </c>
      <c r="B8" s="16">
        <f t="shared" si="0"/>
        <v>0</v>
      </c>
      <c r="C8" s="20"/>
      <c r="D8" s="20"/>
      <c r="E8" s="21"/>
      <c r="F8" s="16">
        <f t="shared" si="1"/>
        <v>0</v>
      </c>
      <c r="G8" s="20"/>
      <c r="H8" s="20"/>
      <c r="I8" s="32"/>
      <c r="J8" s="31">
        <f t="shared" si="2"/>
        <v>0</v>
      </c>
      <c r="K8" s="20"/>
      <c r="L8" s="20"/>
      <c r="M8" s="21"/>
      <c r="N8" s="16">
        <f t="shared" si="3"/>
        <v>0</v>
      </c>
      <c r="O8" s="20"/>
      <c r="P8" s="20"/>
      <c r="Q8" s="32"/>
      <c r="R8" s="31">
        <f t="shared" si="4"/>
        <v>0</v>
      </c>
      <c r="S8" s="20"/>
      <c r="T8" s="17">
        <f t="shared" si="5"/>
        <v>0</v>
      </c>
      <c r="U8" s="41" t="e">
        <f t="shared" si="6"/>
        <v>#DIV/0!</v>
      </c>
      <c r="V8" s="43"/>
    </row>
    <row r="9" s="2" customFormat="1" ht="22" customHeight="1" spans="1:22">
      <c r="A9" s="19" t="s">
        <v>352</v>
      </c>
      <c r="B9" s="16">
        <f t="shared" si="0"/>
        <v>0</v>
      </c>
      <c r="C9" s="20"/>
      <c r="D9" s="20"/>
      <c r="E9" s="21"/>
      <c r="F9" s="16">
        <f t="shared" si="1"/>
        <v>0</v>
      </c>
      <c r="G9" s="20"/>
      <c r="H9" s="20"/>
      <c r="I9" s="32"/>
      <c r="J9" s="31">
        <f t="shared" si="2"/>
        <v>0</v>
      </c>
      <c r="K9" s="20"/>
      <c r="L9" s="20"/>
      <c r="M9" s="21"/>
      <c r="N9" s="16">
        <f t="shared" si="3"/>
        <v>0</v>
      </c>
      <c r="O9" s="20"/>
      <c r="P9" s="20"/>
      <c r="Q9" s="32"/>
      <c r="R9" s="31">
        <f t="shared" si="4"/>
        <v>0</v>
      </c>
      <c r="S9" s="20"/>
      <c r="T9" s="17">
        <f t="shared" si="5"/>
        <v>0</v>
      </c>
      <c r="U9" s="41" t="e">
        <f t="shared" si="6"/>
        <v>#DIV/0!</v>
      </c>
      <c r="V9" s="43"/>
    </row>
    <row r="10" s="2" customFormat="1" ht="22" customHeight="1" spans="1:22">
      <c r="A10" s="19" t="s">
        <v>353</v>
      </c>
      <c r="B10" s="16">
        <f t="shared" si="0"/>
        <v>0</v>
      </c>
      <c r="C10" s="20"/>
      <c r="D10" s="20"/>
      <c r="E10" s="21"/>
      <c r="F10" s="16">
        <f t="shared" si="1"/>
        <v>0</v>
      </c>
      <c r="G10" s="20"/>
      <c r="H10" s="20"/>
      <c r="I10" s="32"/>
      <c r="J10" s="31">
        <f t="shared" si="2"/>
        <v>0</v>
      </c>
      <c r="K10" s="20"/>
      <c r="L10" s="20"/>
      <c r="M10" s="21"/>
      <c r="N10" s="16">
        <f t="shared" si="3"/>
        <v>0</v>
      </c>
      <c r="O10" s="20"/>
      <c r="P10" s="20"/>
      <c r="Q10" s="32"/>
      <c r="R10" s="31">
        <f t="shared" si="4"/>
        <v>0</v>
      </c>
      <c r="S10" s="20"/>
      <c r="T10" s="17">
        <f t="shared" si="5"/>
        <v>0</v>
      </c>
      <c r="U10" s="41" t="e">
        <f t="shared" si="6"/>
        <v>#DIV/0!</v>
      </c>
      <c r="V10" s="43"/>
    </row>
    <row r="11" s="2" customFormat="1" ht="22" customHeight="1" spans="1:22">
      <c r="A11" s="19" t="s">
        <v>354</v>
      </c>
      <c r="B11" s="16">
        <f t="shared" si="0"/>
        <v>0</v>
      </c>
      <c r="C11" s="20"/>
      <c r="D11" s="20"/>
      <c r="E11" s="21"/>
      <c r="F11" s="16">
        <f t="shared" si="1"/>
        <v>0</v>
      </c>
      <c r="G11" s="20"/>
      <c r="H11" s="20"/>
      <c r="I11" s="32"/>
      <c r="J11" s="31">
        <f t="shared" si="2"/>
        <v>0</v>
      </c>
      <c r="K11" s="20"/>
      <c r="L11" s="20"/>
      <c r="M11" s="21"/>
      <c r="N11" s="16">
        <f t="shared" si="3"/>
        <v>0</v>
      </c>
      <c r="O11" s="20"/>
      <c r="P11" s="20"/>
      <c r="Q11" s="32"/>
      <c r="R11" s="31">
        <f t="shared" si="4"/>
        <v>0</v>
      </c>
      <c r="S11" s="20"/>
      <c r="T11" s="17">
        <f t="shared" si="5"/>
        <v>0</v>
      </c>
      <c r="U11" s="41" t="e">
        <f t="shared" si="6"/>
        <v>#DIV/0!</v>
      </c>
      <c r="V11" s="43"/>
    </row>
    <row r="12" s="2" customFormat="1" ht="22" customHeight="1" spans="1:22">
      <c r="A12" s="19" t="s">
        <v>144</v>
      </c>
      <c r="B12" s="16">
        <f t="shared" si="0"/>
        <v>0</v>
      </c>
      <c r="C12" s="20"/>
      <c r="D12" s="20"/>
      <c r="E12" s="21"/>
      <c r="F12" s="16">
        <f t="shared" si="1"/>
        <v>0</v>
      </c>
      <c r="G12" s="20"/>
      <c r="H12" s="20"/>
      <c r="I12" s="32"/>
      <c r="J12" s="31">
        <f t="shared" si="2"/>
        <v>0</v>
      </c>
      <c r="K12" s="20"/>
      <c r="L12" s="20"/>
      <c r="M12" s="21"/>
      <c r="N12" s="16">
        <f t="shared" si="3"/>
        <v>0</v>
      </c>
      <c r="O12" s="20"/>
      <c r="P12" s="20"/>
      <c r="Q12" s="32"/>
      <c r="R12" s="31">
        <f t="shared" si="4"/>
        <v>0</v>
      </c>
      <c r="S12" s="20"/>
      <c r="T12" s="17">
        <f t="shared" si="5"/>
        <v>0</v>
      </c>
      <c r="U12" s="41" t="e">
        <f t="shared" si="6"/>
        <v>#DIV/0!</v>
      </c>
      <c r="V12" s="43"/>
    </row>
    <row r="13" s="2" customFormat="1" ht="22" customHeight="1" spans="1:22">
      <c r="A13" s="22" t="s">
        <v>112</v>
      </c>
      <c r="B13" s="23">
        <f>C13+D13+E13</f>
        <v>0</v>
      </c>
      <c r="C13" s="23">
        <f>SUM(C5:C12)</f>
        <v>0</v>
      </c>
      <c r="D13" s="23">
        <f>SUM(D5:D12)</f>
        <v>0</v>
      </c>
      <c r="E13" s="23">
        <f>SUM(E5:E12)</f>
        <v>0</v>
      </c>
      <c r="F13" s="24">
        <f>G13+H13+I13</f>
        <v>0</v>
      </c>
      <c r="G13" s="23">
        <f>SUM(G5:G12)</f>
        <v>0</v>
      </c>
      <c r="H13" s="23">
        <f>SUM(H5:H12)</f>
        <v>0</v>
      </c>
      <c r="I13" s="23">
        <f>SUM(I5:I12)</f>
        <v>0</v>
      </c>
      <c r="J13" s="24">
        <f>K13+L13+M13</f>
        <v>0</v>
      </c>
      <c r="K13" s="23">
        <f>SUM(K5:K12)</f>
        <v>0</v>
      </c>
      <c r="L13" s="23">
        <f>SUM(L5:L12)</f>
        <v>0</v>
      </c>
      <c r="M13" s="23">
        <f>SUM(M5:M12)</f>
        <v>0</v>
      </c>
      <c r="N13" s="23">
        <f>O13+P13+Q13</f>
        <v>0</v>
      </c>
      <c r="O13" s="23">
        <f>SUM(O5:O12)</f>
        <v>0</v>
      </c>
      <c r="P13" s="23">
        <f>SUM(P5:P12)</f>
        <v>0</v>
      </c>
      <c r="Q13" s="23">
        <f>SUM(Q5:Q12)</f>
        <v>0</v>
      </c>
      <c r="R13" s="24">
        <f t="shared" si="4"/>
        <v>0</v>
      </c>
      <c r="S13" s="44"/>
      <c r="T13" s="45">
        <f t="shared" si="5"/>
        <v>0</v>
      </c>
      <c r="U13" s="46" t="e">
        <f t="shared" si="6"/>
        <v>#DIV/0!</v>
      </c>
      <c r="V13" s="47"/>
    </row>
    <row r="14" s="4" customFormat="1" ht="26.1" customHeight="1" spans="1:22">
      <c r="A14" s="25"/>
      <c r="B14" s="26"/>
      <c r="C14" s="26"/>
      <c r="D14" s="26"/>
      <c r="E14" s="26"/>
      <c r="F14" s="26"/>
      <c r="G14" s="26"/>
      <c r="H14" s="26"/>
      <c r="I14" s="26"/>
      <c r="J14" s="26"/>
      <c r="K14" s="26"/>
      <c r="L14" s="26"/>
      <c r="M14" s="26"/>
      <c r="N14" s="26"/>
      <c r="O14" s="26"/>
      <c r="P14" s="26"/>
      <c r="Q14" s="26"/>
      <c r="R14" s="48"/>
      <c r="S14" s="48"/>
      <c r="T14" s="48"/>
      <c r="U14" s="49"/>
      <c r="V14" s="49"/>
    </row>
    <row r="15" s="5" customFormat="1" ht="18" customHeight="1" spans="1:21">
      <c r="A15" s="27" t="s">
        <v>355</v>
      </c>
      <c r="B15" s="27"/>
      <c r="C15" s="27"/>
      <c r="D15" s="27"/>
      <c r="E15" s="27"/>
      <c r="F15" s="27"/>
      <c r="G15" s="27"/>
      <c r="H15" s="27"/>
      <c r="I15" s="27"/>
      <c r="J15" s="27"/>
      <c r="K15" s="27"/>
      <c r="L15" s="27"/>
      <c r="M15" s="27"/>
      <c r="N15" s="27"/>
      <c r="O15" s="27"/>
      <c r="P15" s="27"/>
      <c r="R15" s="50"/>
      <c r="S15" s="50"/>
      <c r="T15" s="50"/>
      <c r="U15" s="50"/>
    </row>
    <row r="16" s="5" customFormat="1" ht="18" customHeight="1" spans="1:1">
      <c r="A16" s="5" t="s">
        <v>356</v>
      </c>
    </row>
  </sheetData>
  <mergeCells count="10">
    <mergeCell ref="A1:V1"/>
    <mergeCell ref="B3:Q3"/>
    <mergeCell ref="A15:N15"/>
    <mergeCell ref="R15:U15"/>
    <mergeCell ref="A3:A4"/>
    <mergeCell ref="R3:R4"/>
    <mergeCell ref="S3:S4"/>
    <mergeCell ref="T3:T4"/>
    <mergeCell ref="U3:U4"/>
    <mergeCell ref="V3:V4"/>
  </mergeCells>
  <printOptions horizontalCentered="1"/>
  <pageMargins left="0.747916666666667" right="0.747916666666667" top="0.984027777777778" bottom="0.984027777777778" header="0.511805555555556" footer="0.511805555555556"/>
  <pageSetup paperSize="9" orientation="landscape" verticalDpi="120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9</vt:i4>
      </vt:variant>
    </vt:vector>
  </HeadingPairs>
  <TitlesOfParts>
    <vt:vector size="9" baseType="lpstr">
      <vt:lpstr>預計資金流量表</vt:lpstr>
      <vt:lpstr>主營成本支出現金預算表</vt:lpstr>
      <vt:lpstr>管理費用現金預算表</vt:lpstr>
      <vt:lpstr>銷售費用現金預算表</vt:lpstr>
      <vt:lpstr>稅費支出現金預算表</vt:lpstr>
      <vt:lpstr>投資收回現金預算表</vt:lpstr>
      <vt:lpstr>購置非流動資產支出現金預算表</vt:lpstr>
      <vt:lpstr>投資支出</vt:lpstr>
      <vt:lpstr>財務費用</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唐荣军</dc:creator>
  <cp:lastModifiedBy>陈欣琪</cp:lastModifiedBy>
  <dcterms:created xsi:type="dcterms:W3CDTF">1996-12-17T01:32:00Z</dcterms:created>
  <cp:lastPrinted>2012-12-19T09:12:00Z</cp:lastPrinted>
  <dcterms:modified xsi:type="dcterms:W3CDTF">2018-12-05T10:03:25Z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2052-11.8.2.8015</vt:lpwstr>
  </property>
</Properties>
</file>