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考勤表" sheetId="9" r:id="rId1"/>
  </sheets>
  <calcPr calcId="144525"/>
</workbook>
</file>

<file path=xl/sharedStrings.xml><?xml version="1.0" encoding="utf-8"?>
<sst xmlns="http://schemas.openxmlformats.org/spreadsheetml/2006/main" count="70" uniqueCount="49">
  <si>
    <t>考       勤       表</t>
  </si>
  <si>
    <t>部門：</t>
  </si>
  <si>
    <t>考勤員：</t>
  </si>
  <si>
    <t>考勤時間：</t>
  </si>
  <si>
    <t>部門負責人簽字：</t>
  </si>
  <si>
    <t>序號</t>
  </si>
  <si>
    <t>姓名</t>
  </si>
  <si>
    <t>出勤</t>
  </si>
  <si>
    <t>病假</t>
  </si>
  <si>
    <t>事假</t>
  </si>
  <si>
    <t>曠工</t>
  </si>
  <si>
    <t>遲到</t>
  </si>
  <si>
    <t>值班</t>
  </si>
  <si>
    <t>補休</t>
  </si>
  <si>
    <t>員工確認</t>
  </si>
  <si>
    <t>張三</t>
  </si>
  <si>
    <t>√</t>
  </si>
  <si>
    <t>×</t>
  </si>
  <si>
    <t>△</t>
  </si>
  <si>
    <t xml:space="preserve">≈ </t>
  </si>
  <si>
    <t>◆</t>
  </si>
  <si>
    <t>∷</t>
  </si>
  <si>
    <t>C</t>
  </si>
  <si>
    <t>※</t>
  </si>
  <si>
    <t>■</t>
  </si>
  <si>
    <t xml:space="preserve"> ★</t>
  </si>
  <si>
    <t>Z</t>
  </si>
  <si>
    <t>B</t>
  </si>
  <si>
    <t>N</t>
  </si>
  <si>
    <t>●</t>
  </si>
  <si>
    <t>√ 出勤</t>
  </si>
  <si>
    <t>△ 病假</t>
  </si>
  <si>
    <t>× 曠工</t>
  </si>
  <si>
    <t>≈ 出差</t>
  </si>
  <si>
    <t>Z  早退（分鐘數）</t>
  </si>
  <si>
    <t>C 遲到（分鐘數）</t>
  </si>
  <si>
    <t>B 補休</t>
  </si>
  <si>
    <t>N 年假</t>
  </si>
  <si>
    <t>■ 值班</t>
  </si>
  <si>
    <t>M 婚假</t>
  </si>
  <si>
    <t>◆ 年假</t>
  </si>
  <si>
    <t>S 喪假</t>
  </si>
  <si>
    <t>※ 工傷修養</t>
  </si>
  <si>
    <r>
      <rPr>
        <sz val="10"/>
        <color theme="1"/>
        <rFont val="微软雅黑"/>
        <charset val="134"/>
      </rPr>
      <t xml:space="preserve"> </t>
    </r>
    <r>
      <rPr>
        <sz val="10"/>
        <color theme="1"/>
        <rFont val="Wingdings 2"/>
        <charset val="134"/>
      </rPr>
      <t>ê</t>
    </r>
    <r>
      <rPr>
        <sz val="10"/>
        <color theme="1"/>
        <rFont val="微软雅黑"/>
        <charset val="134"/>
      </rPr>
      <t>公休</t>
    </r>
  </si>
  <si>
    <t>∷節假日</t>
  </si>
  <si>
    <t>●事假</t>
  </si>
  <si>
    <t>注：各部門應於每月3日前將本考勤表送至人力資源部</t>
  </si>
  <si>
    <t>M</t>
  </si>
  <si>
    <t>S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</si>
</sst>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1"/>
      <color theme="1"/>
      <name val="微软雅黑"/>
      <charset val="134"/>
    </font>
    <font>
      <sz val="18"/>
      <color theme="1"/>
      <name val="微软雅黑"/>
      <charset val="134"/>
    </font>
    <font>
      <sz val="9"/>
      <color theme="1"/>
      <name val="微软雅黑"/>
      <charset val="134"/>
    </font>
    <font>
      <sz val="10"/>
      <color theme="1"/>
      <name val="宋体"/>
      <charset val="134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0"/>
      <color theme="1"/>
      <name val="Wingdings 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4" fillId="9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3" borderId="17" applyNumberFormat="0" applyFont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0" borderId="14" applyNumberFormat="0" applyFill="0" applyAlignment="0" applyProtection="0">
      <alignment vertical="center"/>
    </xf>
    <xf numFmtId="0" fontId="8" fillId="0" borderId="14" applyNumberFormat="0" applyFill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0" fillId="0" borderId="16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21" fillId="20" borderId="19" applyNumberFormat="0" applyAlignment="0" applyProtection="0">
      <alignment vertical="center"/>
    </xf>
    <xf numFmtId="0" fontId="22" fillId="20" borderId="15" applyNumberFormat="0" applyAlignment="0" applyProtection="0">
      <alignment vertical="center"/>
    </xf>
    <xf numFmtId="0" fontId="23" fillId="23" borderId="20" applyNumberFormat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9" fillId="0" borderId="18" applyNumberFormat="0" applyFill="0" applyAlignment="0" applyProtection="0">
      <alignment vertical="center"/>
    </xf>
    <xf numFmtId="0" fontId="24" fillId="0" borderId="21" applyNumberFormat="0" applyFill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/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9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10" xfId="0" applyFont="1" applyFill="1" applyBorder="1" applyAlignment="1">
      <alignment horizontal="center"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1:AO24"/>
  <sheetViews>
    <sheetView showGridLines="0" tabSelected="1" workbookViewId="0">
      <selection activeCell="A1" sqref="A1:AO1"/>
    </sheetView>
  </sheetViews>
  <sheetFormatPr defaultColWidth="8.725" defaultRowHeight="16.5"/>
  <cols>
    <col min="1" max="2" width="8.725" style="3"/>
    <col min="3" max="16" width="3.63333333333333" style="4" customWidth="1"/>
    <col min="17" max="18" width="3.63333333333333" style="3" customWidth="1"/>
    <col min="19" max="19" width="4.18333333333333" style="3" customWidth="1"/>
    <col min="20" max="20" width="3.63333333333333" style="3" customWidth="1"/>
    <col min="21" max="21" width="3.90833333333333" style="3" customWidth="1"/>
    <col min="22" max="33" width="3.63333333333333" style="3" customWidth="1"/>
    <col min="34" max="40" width="6.63333333333333" style="3" customWidth="1"/>
    <col min="41" max="41" width="9.81666666666667" style="3" customWidth="1"/>
    <col min="42" max="16384" width="8.725" style="3"/>
  </cols>
  <sheetData>
    <row r="1" ht="34" customHeight="1" spans="1:41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customFormat="1" ht="20" customHeight="1" spans="1:41">
      <c r="A2" s="6" t="s">
        <v>1</v>
      </c>
      <c r="B2" s="7"/>
      <c r="C2" s="5"/>
      <c r="D2" s="5"/>
      <c r="E2" s="5"/>
      <c r="H2" s="5"/>
      <c r="I2" s="5"/>
      <c r="J2" s="22" t="s">
        <v>2</v>
      </c>
      <c r="K2" s="5"/>
      <c r="L2" s="22"/>
      <c r="M2" s="22"/>
      <c r="N2" s="22"/>
      <c r="R2" s="22"/>
      <c r="S2" s="5"/>
      <c r="T2" s="6" t="s">
        <v>3</v>
      </c>
      <c r="U2" s="6"/>
      <c r="V2" s="6"/>
      <c r="W2" s="22"/>
      <c r="X2" s="22"/>
      <c r="Y2" s="22"/>
      <c r="Z2" s="22"/>
      <c r="AA2" s="22"/>
      <c r="AB2" s="5"/>
      <c r="AC2" s="5"/>
      <c r="AD2" s="5"/>
      <c r="AE2" s="5"/>
      <c r="AF2" s="5"/>
      <c r="AG2" s="5"/>
      <c r="AH2" s="5"/>
      <c r="AI2" s="5"/>
      <c r="AJ2" s="6" t="s">
        <v>4</v>
      </c>
      <c r="AK2" s="6"/>
      <c r="AL2" s="6"/>
      <c r="AM2" s="5"/>
      <c r="AN2" s="5"/>
      <c r="AO2" s="5"/>
    </row>
    <row r="3" s="1" customFormat="1" ht="22" customHeight="1" spans="1:41">
      <c r="A3" s="8" t="s">
        <v>5</v>
      </c>
      <c r="B3" s="9" t="s">
        <v>6</v>
      </c>
      <c r="C3" s="9">
        <v>1</v>
      </c>
      <c r="D3" s="9">
        <v>2</v>
      </c>
      <c r="E3" s="9">
        <v>3</v>
      </c>
      <c r="F3" s="9">
        <v>4</v>
      </c>
      <c r="G3" s="9">
        <v>5</v>
      </c>
      <c r="H3" s="9">
        <v>6</v>
      </c>
      <c r="I3" s="9">
        <v>7</v>
      </c>
      <c r="J3" s="9">
        <v>8</v>
      </c>
      <c r="K3" s="9">
        <v>9</v>
      </c>
      <c r="L3" s="9">
        <v>10</v>
      </c>
      <c r="M3" s="9">
        <v>11</v>
      </c>
      <c r="N3" s="9">
        <v>12</v>
      </c>
      <c r="O3" s="9">
        <v>13</v>
      </c>
      <c r="P3" s="9">
        <v>14</v>
      </c>
      <c r="Q3" s="9">
        <v>15</v>
      </c>
      <c r="R3" s="9">
        <v>16</v>
      </c>
      <c r="S3" s="9">
        <v>17</v>
      </c>
      <c r="T3" s="9">
        <v>18</v>
      </c>
      <c r="U3" s="9">
        <v>19</v>
      </c>
      <c r="V3" s="9">
        <v>20</v>
      </c>
      <c r="W3" s="9">
        <v>21</v>
      </c>
      <c r="X3" s="9">
        <v>22</v>
      </c>
      <c r="Y3" s="9">
        <v>23</v>
      </c>
      <c r="Z3" s="9">
        <v>24</v>
      </c>
      <c r="AA3" s="9">
        <v>25</v>
      </c>
      <c r="AB3" s="9">
        <v>26</v>
      </c>
      <c r="AC3" s="9">
        <v>27</v>
      </c>
      <c r="AD3" s="9">
        <v>28</v>
      </c>
      <c r="AE3" s="9">
        <v>29</v>
      </c>
      <c r="AF3" s="9">
        <v>30</v>
      </c>
      <c r="AG3" s="9">
        <v>31</v>
      </c>
      <c r="AH3" s="9" t="s">
        <v>7</v>
      </c>
      <c r="AI3" s="9" t="s">
        <v>8</v>
      </c>
      <c r="AJ3" s="9" t="s">
        <v>9</v>
      </c>
      <c r="AK3" s="9" t="s">
        <v>10</v>
      </c>
      <c r="AL3" s="9" t="s">
        <v>11</v>
      </c>
      <c r="AM3" s="9" t="s">
        <v>12</v>
      </c>
      <c r="AN3" s="9" t="s">
        <v>13</v>
      </c>
      <c r="AO3" s="29" t="s">
        <v>14</v>
      </c>
    </row>
    <row r="4" ht="22" customHeight="1" spans="1:41">
      <c r="A4" s="10">
        <v>1</v>
      </c>
      <c r="B4" s="11" t="s">
        <v>15</v>
      </c>
      <c r="C4" s="12" t="s">
        <v>16</v>
      </c>
      <c r="D4" s="12" t="s">
        <v>17</v>
      </c>
      <c r="E4" s="12" t="s">
        <v>17</v>
      </c>
      <c r="F4" s="12" t="s">
        <v>18</v>
      </c>
      <c r="G4" s="12" t="s">
        <v>19</v>
      </c>
      <c r="H4" s="12" t="s">
        <v>20</v>
      </c>
      <c r="I4" s="12" t="s">
        <v>21</v>
      </c>
      <c r="J4" s="12" t="s">
        <v>16</v>
      </c>
      <c r="K4" s="12" t="s">
        <v>22</v>
      </c>
      <c r="L4" s="12" t="s">
        <v>18</v>
      </c>
      <c r="M4" s="12" t="s">
        <v>23</v>
      </c>
      <c r="N4" s="12" t="s">
        <v>17</v>
      </c>
      <c r="O4" s="12" t="s">
        <v>24</v>
      </c>
      <c r="P4" s="12" t="s">
        <v>23</v>
      </c>
      <c r="Q4" s="26" t="s">
        <v>25</v>
      </c>
      <c r="R4" s="26" t="s">
        <v>21</v>
      </c>
      <c r="S4" s="12" t="s">
        <v>26</v>
      </c>
      <c r="T4" s="12" t="s">
        <v>27</v>
      </c>
      <c r="U4" s="12" t="s">
        <v>22</v>
      </c>
      <c r="V4" s="26" t="s">
        <v>28</v>
      </c>
      <c r="W4" s="12" t="s">
        <v>29</v>
      </c>
      <c r="X4" s="26"/>
      <c r="Y4" s="26"/>
      <c r="Z4" s="26"/>
      <c r="AA4" s="26"/>
      <c r="AB4" s="26"/>
      <c r="AC4" s="26"/>
      <c r="AD4" s="26"/>
      <c r="AE4" s="26"/>
      <c r="AF4" s="26"/>
      <c r="AG4" s="26"/>
      <c r="AH4" s="12">
        <f>COUNTIF(C4:AG4,"√")</f>
        <v>2</v>
      </c>
      <c r="AI4" s="12">
        <f>COUNTIF(C4:AG4,"△")</f>
        <v>2</v>
      </c>
      <c r="AJ4" s="12">
        <f>COUNTIF(C4:AG4,"●")</f>
        <v>1</v>
      </c>
      <c r="AK4" s="12">
        <f>COUNTIF(C4:AG4,"×")</f>
        <v>3</v>
      </c>
      <c r="AL4" s="12">
        <f>COUNTIF(C4:AG4,"Z")+COUNTIF(C4:AG4,"C")</f>
        <v>3</v>
      </c>
      <c r="AM4" s="12">
        <f>COUNTIF(C4:AG4,"■")</f>
        <v>1</v>
      </c>
      <c r="AN4" s="26"/>
      <c r="AO4" s="30"/>
    </row>
    <row r="5" ht="22" customHeight="1" spans="1:41">
      <c r="A5" s="13">
        <v>2</v>
      </c>
      <c r="B5" s="14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2">
        <f t="shared" ref="AH5:AH15" si="0">COUNTIF(C5:AG5,"√")</f>
        <v>0</v>
      </c>
      <c r="AI5" s="12">
        <f t="shared" ref="AI5:AI15" si="1">COUNTIF(C5:AG5,"△")</f>
        <v>0</v>
      </c>
      <c r="AJ5" s="12">
        <f t="shared" ref="AJ5:AJ15" si="2">COUNTIF(C5:AG5,"●")</f>
        <v>0</v>
      </c>
      <c r="AK5" s="12">
        <f t="shared" ref="AK5:AK15" si="3">COUNTIF(C5:AG5,"×")</f>
        <v>0</v>
      </c>
      <c r="AL5" s="12">
        <f t="shared" ref="AL5:AL15" si="4">COUNTIF(C5:AG5,"Z")+COUNTIF(C5:AG5,"C")</f>
        <v>0</v>
      </c>
      <c r="AM5" s="12">
        <f t="shared" ref="AM5:AM15" si="5">COUNTIF(C5:AG5,"■")</f>
        <v>0</v>
      </c>
      <c r="AN5" s="14"/>
      <c r="AO5" s="31"/>
    </row>
    <row r="6" ht="22" customHeight="1" spans="1:41">
      <c r="A6" s="13">
        <v>3</v>
      </c>
      <c r="B6" s="14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2">
        <f t="shared" si="0"/>
        <v>0</v>
      </c>
      <c r="AI6" s="12">
        <f t="shared" si="1"/>
        <v>0</v>
      </c>
      <c r="AJ6" s="12">
        <f t="shared" si="2"/>
        <v>0</v>
      </c>
      <c r="AK6" s="12">
        <f t="shared" si="3"/>
        <v>0</v>
      </c>
      <c r="AL6" s="12">
        <f t="shared" si="4"/>
        <v>0</v>
      </c>
      <c r="AM6" s="12">
        <f t="shared" si="5"/>
        <v>0</v>
      </c>
      <c r="AN6" s="14"/>
      <c r="AO6" s="31"/>
    </row>
    <row r="7" ht="22" customHeight="1" spans="1:41">
      <c r="A7" s="13">
        <v>4</v>
      </c>
      <c r="B7" s="14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2">
        <f t="shared" si="0"/>
        <v>0</v>
      </c>
      <c r="AI7" s="12">
        <f t="shared" si="1"/>
        <v>0</v>
      </c>
      <c r="AJ7" s="12">
        <f t="shared" si="2"/>
        <v>0</v>
      </c>
      <c r="AK7" s="12">
        <f t="shared" si="3"/>
        <v>0</v>
      </c>
      <c r="AL7" s="12">
        <f t="shared" si="4"/>
        <v>0</v>
      </c>
      <c r="AM7" s="12">
        <f t="shared" si="5"/>
        <v>0</v>
      </c>
      <c r="AN7" s="14"/>
      <c r="AO7" s="31"/>
    </row>
    <row r="8" ht="22" customHeight="1" spans="1:41">
      <c r="A8" s="13">
        <v>5</v>
      </c>
      <c r="B8" s="14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2">
        <f t="shared" si="0"/>
        <v>0</v>
      </c>
      <c r="AI8" s="12">
        <f t="shared" si="1"/>
        <v>0</v>
      </c>
      <c r="AJ8" s="12">
        <f t="shared" si="2"/>
        <v>0</v>
      </c>
      <c r="AK8" s="12">
        <f t="shared" si="3"/>
        <v>0</v>
      </c>
      <c r="AL8" s="12">
        <f t="shared" si="4"/>
        <v>0</v>
      </c>
      <c r="AM8" s="12">
        <f t="shared" si="5"/>
        <v>0</v>
      </c>
      <c r="AN8" s="14"/>
      <c r="AO8" s="31"/>
    </row>
    <row r="9" ht="22" customHeight="1" spans="1:41">
      <c r="A9" s="13">
        <v>6</v>
      </c>
      <c r="B9" s="14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2">
        <f t="shared" si="0"/>
        <v>0</v>
      </c>
      <c r="AI9" s="12">
        <f t="shared" si="1"/>
        <v>0</v>
      </c>
      <c r="AJ9" s="12">
        <f t="shared" si="2"/>
        <v>0</v>
      </c>
      <c r="AK9" s="12">
        <f t="shared" si="3"/>
        <v>0</v>
      </c>
      <c r="AL9" s="12">
        <f t="shared" si="4"/>
        <v>0</v>
      </c>
      <c r="AM9" s="12">
        <f t="shared" si="5"/>
        <v>0</v>
      </c>
      <c r="AN9" s="14"/>
      <c r="AO9" s="31"/>
    </row>
    <row r="10" ht="22" customHeight="1" spans="1:41">
      <c r="A10" s="13">
        <v>7</v>
      </c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2">
        <f t="shared" si="0"/>
        <v>0</v>
      </c>
      <c r="AI10" s="12">
        <f t="shared" si="1"/>
        <v>0</v>
      </c>
      <c r="AJ10" s="12">
        <f t="shared" si="2"/>
        <v>0</v>
      </c>
      <c r="AK10" s="12">
        <f t="shared" si="3"/>
        <v>0</v>
      </c>
      <c r="AL10" s="12">
        <f t="shared" si="4"/>
        <v>0</v>
      </c>
      <c r="AM10" s="12">
        <f t="shared" si="5"/>
        <v>0</v>
      </c>
      <c r="AN10" s="14"/>
      <c r="AO10" s="31"/>
    </row>
    <row r="11" ht="22" customHeight="1" spans="1:41">
      <c r="A11" s="13">
        <v>8</v>
      </c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2">
        <f t="shared" si="0"/>
        <v>0</v>
      </c>
      <c r="AI11" s="12">
        <f t="shared" si="1"/>
        <v>0</v>
      </c>
      <c r="AJ11" s="12">
        <f t="shared" si="2"/>
        <v>0</v>
      </c>
      <c r="AK11" s="12">
        <f t="shared" si="3"/>
        <v>0</v>
      </c>
      <c r="AL11" s="12">
        <f t="shared" si="4"/>
        <v>0</v>
      </c>
      <c r="AM11" s="12">
        <f t="shared" si="5"/>
        <v>0</v>
      </c>
      <c r="AN11" s="14"/>
      <c r="AO11" s="31"/>
    </row>
    <row r="12" ht="22" customHeight="1" spans="1:41">
      <c r="A12" s="13">
        <v>9</v>
      </c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2">
        <f t="shared" si="0"/>
        <v>0</v>
      </c>
      <c r="AI12" s="12">
        <f t="shared" si="1"/>
        <v>0</v>
      </c>
      <c r="AJ12" s="12">
        <f t="shared" si="2"/>
        <v>0</v>
      </c>
      <c r="AK12" s="12">
        <f t="shared" si="3"/>
        <v>0</v>
      </c>
      <c r="AL12" s="12">
        <f t="shared" si="4"/>
        <v>0</v>
      </c>
      <c r="AM12" s="12">
        <f t="shared" si="5"/>
        <v>0</v>
      </c>
      <c r="AN12" s="14"/>
      <c r="AO12" s="31"/>
    </row>
    <row r="13" ht="22" customHeight="1" spans="1:41">
      <c r="A13" s="13">
        <v>10</v>
      </c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2">
        <f t="shared" si="0"/>
        <v>0</v>
      </c>
      <c r="AI13" s="12">
        <f t="shared" si="1"/>
        <v>0</v>
      </c>
      <c r="AJ13" s="12">
        <f t="shared" si="2"/>
        <v>0</v>
      </c>
      <c r="AK13" s="12">
        <f t="shared" si="3"/>
        <v>0</v>
      </c>
      <c r="AL13" s="12">
        <f t="shared" si="4"/>
        <v>0</v>
      </c>
      <c r="AM13" s="12">
        <f t="shared" si="5"/>
        <v>0</v>
      </c>
      <c r="AN13" s="14"/>
      <c r="AO13" s="31"/>
    </row>
    <row r="14" ht="22" customHeight="1" spans="1:41">
      <c r="A14" s="13">
        <v>11</v>
      </c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2">
        <f t="shared" si="0"/>
        <v>0</v>
      </c>
      <c r="AI14" s="12">
        <f t="shared" si="1"/>
        <v>0</v>
      </c>
      <c r="AJ14" s="12">
        <f t="shared" si="2"/>
        <v>0</v>
      </c>
      <c r="AK14" s="12">
        <f t="shared" si="3"/>
        <v>0</v>
      </c>
      <c r="AL14" s="12">
        <f t="shared" si="4"/>
        <v>0</v>
      </c>
      <c r="AM14" s="12">
        <f t="shared" si="5"/>
        <v>0</v>
      </c>
      <c r="AN14" s="14"/>
      <c r="AO14" s="31"/>
    </row>
    <row r="15" ht="22" customHeight="1" spans="1:41">
      <c r="A15" s="16">
        <v>12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27">
        <f t="shared" si="0"/>
        <v>0</v>
      </c>
      <c r="AI15" s="27">
        <f t="shared" si="1"/>
        <v>0</v>
      </c>
      <c r="AJ15" s="27">
        <f t="shared" si="2"/>
        <v>0</v>
      </c>
      <c r="AK15" s="27">
        <f t="shared" si="3"/>
        <v>0</v>
      </c>
      <c r="AL15" s="27">
        <f t="shared" si="4"/>
        <v>0</v>
      </c>
      <c r="AM15" s="27">
        <f t="shared" si="5"/>
        <v>0</v>
      </c>
      <c r="AN15" s="17"/>
      <c r="AO15" s="32"/>
    </row>
    <row r="16" s="2" customFormat="1" ht="20" customHeight="1" spans="1:34">
      <c r="A16" s="19" t="s">
        <v>30</v>
      </c>
      <c r="C16" s="20"/>
      <c r="D16" s="20"/>
      <c r="E16" s="21" t="s">
        <v>31</v>
      </c>
      <c r="F16" s="21"/>
      <c r="G16" s="19"/>
      <c r="H16" s="20"/>
      <c r="I16" s="21" t="s">
        <v>32</v>
      </c>
      <c r="J16" s="21"/>
      <c r="K16" s="19"/>
      <c r="L16" s="20"/>
      <c r="M16" s="21" t="s">
        <v>33</v>
      </c>
      <c r="N16" s="21"/>
      <c r="O16" s="19"/>
      <c r="P16" s="20"/>
      <c r="Q16" s="21" t="s">
        <v>34</v>
      </c>
      <c r="R16" s="21"/>
      <c r="S16" s="21"/>
      <c r="T16" s="21"/>
      <c r="U16" s="19"/>
      <c r="V16" s="19"/>
      <c r="W16" s="21" t="s">
        <v>35</v>
      </c>
      <c r="X16" s="21"/>
      <c r="Y16" s="21"/>
      <c r="Z16" s="21"/>
      <c r="AC16" s="21" t="s">
        <v>36</v>
      </c>
      <c r="AD16" s="21"/>
      <c r="AE16" s="19"/>
      <c r="AF16" s="19"/>
      <c r="AG16" s="21" t="s">
        <v>37</v>
      </c>
      <c r="AH16" s="21"/>
    </row>
    <row r="17" s="1" customFormat="1" ht="20" customHeight="1" spans="1:34">
      <c r="A17" s="1" t="s">
        <v>38</v>
      </c>
      <c r="C17" s="22"/>
      <c r="D17" s="22"/>
      <c r="E17" s="6" t="s">
        <v>39</v>
      </c>
      <c r="F17" s="6"/>
      <c r="G17" s="22"/>
      <c r="H17" s="22"/>
      <c r="I17" s="6" t="s">
        <v>40</v>
      </c>
      <c r="J17" s="6"/>
      <c r="K17" s="22"/>
      <c r="L17" s="22"/>
      <c r="M17" s="6" t="s">
        <v>41</v>
      </c>
      <c r="N17" s="6"/>
      <c r="O17" s="22"/>
      <c r="P17" s="22"/>
      <c r="Q17" s="6" t="s">
        <v>42</v>
      </c>
      <c r="R17" s="6"/>
      <c r="S17" s="6"/>
      <c r="T17" s="6"/>
      <c r="W17" s="6" t="s">
        <v>43</v>
      </c>
      <c r="X17" s="6"/>
      <c r="AC17" s="6" t="s">
        <v>44</v>
      </c>
      <c r="AD17" s="6"/>
      <c r="AG17" s="28" t="s">
        <v>45</v>
      </c>
      <c r="AH17" s="28"/>
    </row>
    <row r="18" s="1" customFormat="1" spans="1:26">
      <c r="A18" s="23" t="s">
        <v>46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23" ht="24.75" hidden="1" spans="1:16">
      <c r="A23" s="1" t="s">
        <v>16</v>
      </c>
      <c r="B23" s="24" t="s">
        <v>18</v>
      </c>
      <c r="C23" s="22" t="s">
        <v>17</v>
      </c>
      <c r="D23" s="22" t="s">
        <v>19</v>
      </c>
      <c r="E23" s="22" t="s">
        <v>26</v>
      </c>
      <c r="F23" s="22" t="s">
        <v>22</v>
      </c>
      <c r="G23" s="22" t="s">
        <v>27</v>
      </c>
      <c r="H23" s="22" t="s">
        <v>28</v>
      </c>
      <c r="I23" s="25" t="s">
        <v>24</v>
      </c>
      <c r="J23" s="22" t="s">
        <v>47</v>
      </c>
      <c r="K23" s="22" t="s">
        <v>20</v>
      </c>
      <c r="L23" s="22" t="s">
        <v>48</v>
      </c>
      <c r="M23" s="22" t="s">
        <v>23</v>
      </c>
      <c r="N23" s="22" t="s">
        <v>29</v>
      </c>
      <c r="O23" s="1" t="s">
        <v>25</v>
      </c>
      <c r="P23" s="1" t="s">
        <v>21</v>
      </c>
    </row>
    <row r="24" spans="1:18">
      <c r="A24" s="1"/>
      <c r="B24" s="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1"/>
      <c r="R24" s="1"/>
    </row>
  </sheetData>
  <mergeCells count="20">
    <mergeCell ref="A1:AO1"/>
    <mergeCell ref="A2:B2"/>
    <mergeCell ref="J2:K2"/>
    <mergeCell ref="T2:V2"/>
    <mergeCell ref="AJ2:AL2"/>
    <mergeCell ref="E16:F16"/>
    <mergeCell ref="I16:J16"/>
    <mergeCell ref="M16:N16"/>
    <mergeCell ref="Q16:T16"/>
    <mergeCell ref="W16:Z16"/>
    <mergeCell ref="AC16:AD16"/>
    <mergeCell ref="AG16:AH16"/>
    <mergeCell ref="E17:F17"/>
    <mergeCell ref="I17:J17"/>
    <mergeCell ref="M17:N17"/>
    <mergeCell ref="Q17:T17"/>
    <mergeCell ref="W17:X17"/>
    <mergeCell ref="AC17:AD17"/>
    <mergeCell ref="AG17:AH17"/>
    <mergeCell ref="A18:Z18"/>
  </mergeCells>
  <dataValidations count="1">
    <dataValidation type="list" allowBlank="1" showInputMessage="1" showErrorMessage="1" sqref="C4:AG15">
      <formula1>$A$23:$P$23</formula1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考勤表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2018-11-29T03:22:31Z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