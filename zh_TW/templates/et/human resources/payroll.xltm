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工資表" sheetId="8" r:id="rId1"/>
  </sheets>
  <calcPr calcId="144525"/>
</workbook>
</file>

<file path=xl/sharedStrings.xml><?xml version="1.0" encoding="utf-8"?>
<sst xmlns="http://schemas.openxmlformats.org/spreadsheetml/2006/main" count="27" uniqueCount="27">
  <si>
    <t>工   資   表</t>
  </si>
  <si>
    <t>序號</t>
  </si>
  <si>
    <t>部門</t>
  </si>
  <si>
    <t>姓名</t>
  </si>
  <si>
    <t>應發工資</t>
  </si>
  <si>
    <t>應扣工資</t>
  </si>
  <si>
    <t> 代繳五險一金</t>
  </si>
  <si>
    <t>個稅</t>
  </si>
  <si>
    <t>補助</t>
  </si>
  <si>
    <t> 實發工資</t>
  </si>
  <si>
    <t>備註</t>
  </si>
  <si>
    <t>基本工資</t>
  </si>
  <si>
    <t>績效工資</t>
  </si>
  <si>
    <t>工資總額</t>
  </si>
  <si>
    <t>事/病假</t>
  </si>
  <si>
    <t>曠工/違紀</t>
  </si>
  <si>
    <t>應扣小計</t>
  </si>
  <si>
    <t>社保</t>
  </si>
  <si>
    <t>公積金</t>
  </si>
  <si>
    <t>扣款小計</t>
  </si>
  <si>
    <t>研發部</t>
  </si>
  <si>
    <t>張三</t>
  </si>
  <si>
    <t>出差一天</t>
  </si>
  <si>
    <t>合計</t>
  </si>
  <si>
    <t>批准人：</t>
  </si>
  <si>
    <t>財務負責人：</t>
  </si>
  <si>
    <t>製錶人：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</si>
</sst>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8"/>
      <color theme="1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微软雅黑"/>
      <charset val="134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2" fillId="4" borderId="3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6" borderId="43" applyNumberFormat="0" applyFont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36" applyNumberFormat="0" applyFill="0" applyAlignment="0" applyProtection="0">
      <alignment vertical="center"/>
    </xf>
    <xf numFmtId="0" fontId="7" fillId="0" borderId="36" applyNumberFormat="0" applyFill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9" fillId="0" borderId="41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3" borderId="37" applyNumberFormat="0" applyAlignment="0" applyProtection="0">
      <alignment vertical="center"/>
    </xf>
    <xf numFmtId="0" fontId="21" fillId="3" borderId="39" applyNumberFormat="0" applyAlignment="0" applyProtection="0">
      <alignment vertical="center"/>
    </xf>
    <xf numFmtId="0" fontId="13" fillId="5" borderId="40" applyNumberFormat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0" borderId="38" applyNumberFormat="0" applyFill="0" applyAlignment="0" applyProtection="0">
      <alignment vertical="center"/>
    </xf>
    <xf numFmtId="0" fontId="20" fillId="0" borderId="42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right" vertical="center"/>
    </xf>
    <xf numFmtId="0" fontId="3" fillId="0" borderId="14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0" borderId="22" xfId="0" applyFont="1" applyBorder="1" applyAlignment="1">
      <alignment horizontal="right" vertical="center"/>
    </xf>
    <xf numFmtId="0" fontId="3" fillId="0" borderId="20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right" vertical="center"/>
    </xf>
    <xf numFmtId="0" fontId="3" fillId="2" borderId="25" xfId="0" applyFont="1" applyFill="1" applyBorder="1" applyAlignment="1">
      <alignment horizontal="right" vertical="center"/>
    </xf>
    <xf numFmtId="0" fontId="3" fillId="2" borderId="28" xfId="0" applyFont="1" applyFill="1" applyBorder="1" applyAlignment="1">
      <alignment horizontal="right" vertical="center"/>
    </xf>
    <xf numFmtId="0" fontId="3" fillId="2" borderId="29" xfId="0" applyFont="1" applyFill="1" applyBorder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right" vertical="center"/>
    </xf>
    <xf numFmtId="0" fontId="3" fillId="0" borderId="32" xfId="0" applyFont="1" applyBorder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33" xfId="0" applyFont="1" applyBorder="1" applyAlignment="1">
      <alignment horizontal="center" vertical="center"/>
    </xf>
    <xf numFmtId="0" fontId="3" fillId="2" borderId="26" xfId="0" applyFont="1" applyFill="1" applyBorder="1" applyAlignment="1">
      <alignment horizontal="right" vertical="center"/>
    </xf>
    <xf numFmtId="0" fontId="3" fillId="2" borderId="34" xfId="0" applyFont="1" applyFill="1" applyBorder="1" applyAlignment="1">
      <alignment horizontal="right" vertical="center"/>
    </xf>
    <xf numFmtId="0" fontId="3" fillId="2" borderId="3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P15"/>
  <sheetViews>
    <sheetView showGridLines="0" tabSelected="1" workbookViewId="0">
      <selection activeCell="A1" sqref="A1:P1"/>
    </sheetView>
  </sheetViews>
  <sheetFormatPr defaultColWidth="8.725" defaultRowHeight="13.5"/>
  <cols>
    <col min="1" max="1" width="5.45833333333333" customWidth="1"/>
    <col min="2" max="2" width="14.8166666666667" customWidth="1"/>
    <col min="3" max="3" width="10.3666666666667" customWidth="1"/>
    <col min="4" max="13" width="9.63333333333333" customWidth="1"/>
    <col min="14" max="14" width="10" customWidth="1"/>
    <col min="15" max="15" width="11.6333333333333" customWidth="1"/>
    <col min="16" max="16" width="11.3666666666667" customWidth="1"/>
  </cols>
  <sheetData>
    <row r="1" ht="34" customHeight="1" spans="1:16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ht="20" customHeight="1" spans="1:16">
      <c r="A2" s="2" t="s">
        <v>1</v>
      </c>
      <c r="B2" s="3" t="s">
        <v>2</v>
      </c>
      <c r="C2" s="4" t="s">
        <v>3</v>
      </c>
      <c r="D2" s="5" t="s">
        <v>4</v>
      </c>
      <c r="E2" s="6"/>
      <c r="F2" s="7"/>
      <c r="G2" s="8" t="s">
        <v>5</v>
      </c>
      <c r="H2" s="3"/>
      <c r="I2" s="4"/>
      <c r="J2" s="38" t="s">
        <v>6</v>
      </c>
      <c r="K2" s="3"/>
      <c r="L2" s="39"/>
      <c r="M2" s="8" t="s">
        <v>7</v>
      </c>
      <c r="N2" s="3" t="s">
        <v>8</v>
      </c>
      <c r="O2" s="3" t="s">
        <v>9</v>
      </c>
      <c r="P2" s="40" t="s">
        <v>10</v>
      </c>
    </row>
    <row r="3" ht="20" customHeight="1" spans="1:16">
      <c r="A3" s="9"/>
      <c r="B3" s="10"/>
      <c r="C3" s="11"/>
      <c r="D3" s="12" t="s">
        <v>11</v>
      </c>
      <c r="E3" s="10" t="s">
        <v>12</v>
      </c>
      <c r="F3" s="13" t="s">
        <v>13</v>
      </c>
      <c r="G3" s="14" t="s">
        <v>14</v>
      </c>
      <c r="H3" s="10" t="s">
        <v>15</v>
      </c>
      <c r="I3" s="11" t="s">
        <v>16</v>
      </c>
      <c r="J3" s="12" t="s">
        <v>17</v>
      </c>
      <c r="K3" s="10" t="s">
        <v>18</v>
      </c>
      <c r="L3" s="13" t="s">
        <v>19</v>
      </c>
      <c r="M3" s="14"/>
      <c r="N3" s="10"/>
      <c r="O3" s="10"/>
      <c r="P3" s="41"/>
    </row>
    <row r="4" ht="22" customHeight="1" spans="1:16">
      <c r="A4" s="15">
        <v>1</v>
      </c>
      <c r="B4" s="16" t="s">
        <v>20</v>
      </c>
      <c r="C4" s="17" t="s">
        <v>21</v>
      </c>
      <c r="D4" s="18">
        <v>10000</v>
      </c>
      <c r="E4" s="19">
        <v>10000</v>
      </c>
      <c r="F4" s="20">
        <f>D4+E4</f>
        <v>20000</v>
      </c>
      <c r="G4" s="21">
        <v>0</v>
      </c>
      <c r="H4" s="19">
        <v>0</v>
      </c>
      <c r="I4" s="42">
        <v>0</v>
      </c>
      <c r="J4" s="18">
        <v>375</v>
      </c>
      <c r="K4" s="19">
        <f>F4*0.12</f>
        <v>2400</v>
      </c>
      <c r="L4" s="20">
        <f>J4+K4</f>
        <v>2775</v>
      </c>
      <c r="M4" s="21">
        <v>1200</v>
      </c>
      <c r="N4" s="19">
        <v>440</v>
      </c>
      <c r="O4" s="19">
        <f>F4-I4-L4-M4+N4</f>
        <v>16465</v>
      </c>
      <c r="P4" s="43" t="s">
        <v>22</v>
      </c>
    </row>
    <row r="5" ht="22" customHeight="1" spans="1:16">
      <c r="A5" s="22">
        <v>2</v>
      </c>
      <c r="B5" s="23"/>
      <c r="C5" s="24"/>
      <c r="D5" s="25"/>
      <c r="E5" s="26"/>
      <c r="F5" s="20">
        <f t="shared" ref="F5:F14" si="0">D5+E5</f>
        <v>0</v>
      </c>
      <c r="G5" s="27"/>
      <c r="H5" s="26"/>
      <c r="I5" s="44"/>
      <c r="J5" s="25"/>
      <c r="K5" s="26"/>
      <c r="L5" s="20">
        <f t="shared" ref="L5:L13" si="1">J5+K5</f>
        <v>0</v>
      </c>
      <c r="M5" s="27"/>
      <c r="N5" s="26"/>
      <c r="O5" s="19">
        <f t="shared" ref="O5:O13" si="2">F5-I5-L5-M5+N5</f>
        <v>0</v>
      </c>
      <c r="P5" s="45"/>
    </row>
    <row r="6" ht="22" customHeight="1" spans="1:16">
      <c r="A6" s="22">
        <v>3</v>
      </c>
      <c r="B6" s="23"/>
      <c r="C6" s="24"/>
      <c r="D6" s="25"/>
      <c r="E6" s="26"/>
      <c r="F6" s="20">
        <f t="shared" si="0"/>
        <v>0</v>
      </c>
      <c r="G6" s="27"/>
      <c r="H6" s="26"/>
      <c r="I6" s="44"/>
      <c r="J6" s="25"/>
      <c r="K6" s="26"/>
      <c r="L6" s="20">
        <f t="shared" si="1"/>
        <v>0</v>
      </c>
      <c r="M6" s="27"/>
      <c r="N6" s="26"/>
      <c r="O6" s="19">
        <f t="shared" si="2"/>
        <v>0</v>
      </c>
      <c r="P6" s="45"/>
    </row>
    <row r="7" ht="22" customHeight="1" spans="1:16">
      <c r="A7" s="22">
        <v>4</v>
      </c>
      <c r="B7" s="23"/>
      <c r="C7" s="24"/>
      <c r="D7" s="25"/>
      <c r="E7" s="26"/>
      <c r="F7" s="20">
        <f t="shared" si="0"/>
        <v>0</v>
      </c>
      <c r="G7" s="27"/>
      <c r="H7" s="26"/>
      <c r="I7" s="44"/>
      <c r="J7" s="25"/>
      <c r="K7" s="26"/>
      <c r="L7" s="20">
        <f t="shared" si="1"/>
        <v>0</v>
      </c>
      <c r="M7" s="27"/>
      <c r="N7" s="26"/>
      <c r="O7" s="19">
        <f t="shared" si="2"/>
        <v>0</v>
      </c>
      <c r="P7" s="45"/>
    </row>
    <row r="8" ht="22" customHeight="1" spans="1:16">
      <c r="A8" s="22">
        <v>5</v>
      </c>
      <c r="B8" s="23"/>
      <c r="C8" s="24"/>
      <c r="D8" s="25"/>
      <c r="E8" s="26"/>
      <c r="F8" s="20">
        <f t="shared" si="0"/>
        <v>0</v>
      </c>
      <c r="G8" s="27"/>
      <c r="H8" s="26"/>
      <c r="I8" s="44"/>
      <c r="J8" s="25"/>
      <c r="K8" s="26"/>
      <c r="L8" s="20">
        <f t="shared" si="1"/>
        <v>0</v>
      </c>
      <c r="M8" s="27"/>
      <c r="N8" s="26"/>
      <c r="O8" s="19">
        <f t="shared" si="2"/>
        <v>0</v>
      </c>
      <c r="P8" s="45"/>
    </row>
    <row r="9" ht="22" customHeight="1" spans="1:16">
      <c r="A9" s="22">
        <v>6</v>
      </c>
      <c r="B9" s="23"/>
      <c r="C9" s="24"/>
      <c r="D9" s="25"/>
      <c r="E9" s="26"/>
      <c r="F9" s="20">
        <f t="shared" si="0"/>
        <v>0</v>
      </c>
      <c r="G9" s="27"/>
      <c r="H9" s="26"/>
      <c r="I9" s="44"/>
      <c r="J9" s="25"/>
      <c r="K9" s="26"/>
      <c r="L9" s="20">
        <f t="shared" si="1"/>
        <v>0</v>
      </c>
      <c r="M9" s="27"/>
      <c r="N9" s="26"/>
      <c r="O9" s="19">
        <f t="shared" si="2"/>
        <v>0</v>
      </c>
      <c r="P9" s="45"/>
    </row>
    <row r="10" ht="22" customHeight="1" spans="1:16">
      <c r="A10" s="22">
        <v>7</v>
      </c>
      <c r="B10" s="23"/>
      <c r="C10" s="24"/>
      <c r="D10" s="25"/>
      <c r="E10" s="26"/>
      <c r="F10" s="20">
        <f t="shared" si="0"/>
        <v>0</v>
      </c>
      <c r="G10" s="27"/>
      <c r="H10" s="26"/>
      <c r="I10" s="44"/>
      <c r="J10" s="25"/>
      <c r="K10" s="26"/>
      <c r="L10" s="20">
        <f t="shared" si="1"/>
        <v>0</v>
      </c>
      <c r="M10" s="27"/>
      <c r="N10" s="26"/>
      <c r="O10" s="19">
        <f t="shared" si="2"/>
        <v>0</v>
      </c>
      <c r="P10" s="45"/>
    </row>
    <row r="11" ht="22" customHeight="1" spans="1:16">
      <c r="A11" s="28">
        <v>8</v>
      </c>
      <c r="B11" s="23"/>
      <c r="C11" s="24"/>
      <c r="D11" s="25"/>
      <c r="E11" s="26"/>
      <c r="F11" s="20">
        <f t="shared" si="0"/>
        <v>0</v>
      </c>
      <c r="G11" s="27"/>
      <c r="H11" s="26"/>
      <c r="I11" s="44"/>
      <c r="J11" s="25"/>
      <c r="K11" s="26"/>
      <c r="L11" s="20">
        <f t="shared" si="1"/>
        <v>0</v>
      </c>
      <c r="M11" s="27"/>
      <c r="N11" s="26"/>
      <c r="O11" s="19">
        <f t="shared" si="2"/>
        <v>0</v>
      </c>
      <c r="P11" s="45"/>
    </row>
    <row r="12" ht="22" customHeight="1" spans="1:16">
      <c r="A12" s="22">
        <v>9</v>
      </c>
      <c r="B12" s="23"/>
      <c r="C12" s="24"/>
      <c r="D12" s="25"/>
      <c r="E12" s="26"/>
      <c r="F12" s="20">
        <f t="shared" si="0"/>
        <v>0</v>
      </c>
      <c r="G12" s="27"/>
      <c r="H12" s="26"/>
      <c r="I12" s="44"/>
      <c r="J12" s="25"/>
      <c r="K12" s="26"/>
      <c r="L12" s="20">
        <f t="shared" si="1"/>
        <v>0</v>
      </c>
      <c r="M12" s="27"/>
      <c r="N12" s="26"/>
      <c r="O12" s="19">
        <f t="shared" si="2"/>
        <v>0</v>
      </c>
      <c r="P12" s="45"/>
    </row>
    <row r="13" ht="22" customHeight="1" spans="1:16">
      <c r="A13" s="22">
        <v>10</v>
      </c>
      <c r="B13" s="23"/>
      <c r="C13" s="24"/>
      <c r="D13" s="25"/>
      <c r="E13" s="26"/>
      <c r="F13" s="20">
        <f t="shared" si="0"/>
        <v>0</v>
      </c>
      <c r="G13" s="27"/>
      <c r="H13" s="26"/>
      <c r="I13" s="44"/>
      <c r="J13" s="25"/>
      <c r="K13" s="26"/>
      <c r="L13" s="20">
        <f t="shared" si="1"/>
        <v>0</v>
      </c>
      <c r="M13" s="27"/>
      <c r="N13" s="26"/>
      <c r="O13" s="19">
        <f t="shared" si="2"/>
        <v>0</v>
      </c>
      <c r="P13" s="45"/>
    </row>
    <row r="14" ht="22" customHeight="1" spans="1:16">
      <c r="A14" s="29" t="s">
        <v>23</v>
      </c>
      <c r="B14" s="30"/>
      <c r="C14" s="31"/>
      <c r="D14" s="32">
        <f t="shared" ref="D14:O14" si="3">SUM(D4:D13)</f>
        <v>10000</v>
      </c>
      <c r="E14" s="33">
        <f t="shared" si="3"/>
        <v>10000</v>
      </c>
      <c r="F14" s="34">
        <f t="shared" si="3"/>
        <v>20000</v>
      </c>
      <c r="G14" s="35">
        <f t="shared" si="3"/>
        <v>0</v>
      </c>
      <c r="H14" s="33">
        <f t="shared" si="3"/>
        <v>0</v>
      </c>
      <c r="I14" s="46">
        <f t="shared" si="3"/>
        <v>0</v>
      </c>
      <c r="J14" s="32">
        <f t="shared" si="3"/>
        <v>375</v>
      </c>
      <c r="K14" s="33">
        <f t="shared" si="3"/>
        <v>2400</v>
      </c>
      <c r="L14" s="47">
        <f t="shared" si="3"/>
        <v>2775</v>
      </c>
      <c r="M14" s="35">
        <f t="shared" si="3"/>
        <v>1200</v>
      </c>
      <c r="N14" s="33">
        <f t="shared" si="3"/>
        <v>440</v>
      </c>
      <c r="O14" s="33">
        <f t="shared" si="3"/>
        <v>16465</v>
      </c>
      <c r="P14" s="48"/>
    </row>
    <row r="15" ht="25" customHeight="1" spans="1:16">
      <c r="A15" s="36" t="s">
        <v>24</v>
      </c>
      <c r="B15" s="36"/>
      <c r="C15" s="37"/>
      <c r="D15" s="37"/>
      <c r="E15" s="36"/>
      <c r="F15" s="36"/>
      <c r="G15" s="37" t="s">
        <v>25</v>
      </c>
      <c r="H15" s="37"/>
      <c r="I15" s="37"/>
      <c r="J15" s="37"/>
      <c r="K15" s="37"/>
      <c r="L15" s="37"/>
      <c r="M15" s="37" t="s">
        <v>26</v>
      </c>
      <c r="N15" s="37"/>
      <c r="O15" s="37"/>
      <c r="P15" s="37"/>
    </row>
  </sheetData>
  <mergeCells count="14">
    <mergeCell ref="A1:P1"/>
    <mergeCell ref="D2:F2"/>
    <mergeCell ref="G2:I2"/>
    <mergeCell ref="J2:L2"/>
    <mergeCell ref="A14:C14"/>
    <mergeCell ref="A15:B15"/>
    <mergeCell ref="E15:F15"/>
    <mergeCell ref="A2:A3"/>
    <mergeCell ref="B2:B3"/>
    <mergeCell ref="C2:C3"/>
    <mergeCell ref="M2:M3"/>
    <mergeCell ref="N2:N3"/>
    <mergeCell ref="O2:O3"/>
    <mergeCell ref="P2:P3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工資表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2018-11-29T03:24:34Z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