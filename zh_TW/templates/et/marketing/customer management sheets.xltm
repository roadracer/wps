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firstSheet="1" activeTab="1"/>
  </bookViews>
  <sheets>
    <sheet name="产品销售分析表" sheetId="4" r:id="rId1"/>
    <sheet name="產品銷售分析表" sheetId="18" r:id="rId2"/>
    <sheet name="客戶情況管理表" sheetId="19" r:id="rId3"/>
    <sheet name="客戶總體分類表" sheetId="2" r:id="rId4"/>
    <sheet name="客戶聯絡計畫表" sheetId="1" r:id="rId5"/>
    <sheet name="客戶拜訪記錄表" sheetId="13" r:id="rId6"/>
    <sheet name="客戶招待表" sheetId="15" r:id="rId7"/>
    <sheet name="禮品饋贈計畫表" sheetId="16" r:id="rId8"/>
  </sheets>
  <calcPr calcId="144525"/>
</workbook>
</file>

<file path=xl/sharedStrings.xml><?xml version="1.0" encoding="utf-8"?>
<sst xmlns="http://schemas.openxmlformats.org/spreadsheetml/2006/main" count="214" uniqueCount="176">
  <si>
    <t>产品销售分析表</t>
  </si>
  <si>
    <t>年度：</t>
  </si>
  <si>
    <t>2008年</t>
  </si>
  <si>
    <r>
      <rPr>
        <vertAlign val="subscript"/>
        <sz val="16"/>
        <color theme="1"/>
        <rFont val="微软雅黑"/>
        <charset val="134"/>
      </rPr>
      <t>客户</t>
    </r>
    <r>
      <rPr>
        <vertAlign val="superscript"/>
        <sz val="16"/>
        <color theme="1"/>
        <rFont val="微软雅黑"/>
        <charset val="134"/>
      </rPr>
      <t xml:space="preserve">    产品</t>
    </r>
  </si>
  <si>
    <t>产品1</t>
  </si>
  <si>
    <t>产品2</t>
  </si>
  <si>
    <t>产品3</t>
  </si>
  <si>
    <t>产品4</t>
  </si>
  <si>
    <t>产品5</t>
  </si>
  <si>
    <t>产品6</t>
  </si>
  <si>
    <t>产品7</t>
  </si>
  <si>
    <t>产品8</t>
  </si>
  <si>
    <t>张三办公软件公司</t>
  </si>
  <si>
    <t>审核：</t>
  </si>
  <si>
    <t>填写：</t>
  </si>
  <si>
    <t>编制：</t>
  </si>
  <si>
    <t>客戶銷售分析表</t>
  </si>
  <si>
    <t>A級（銷售額所占比例90%以上）</t>
  </si>
  <si>
    <t>B級（銷售額所占比例80~90%以上）</t>
  </si>
  <si>
    <t>C級（銷售額所占比例70~80%以上）</t>
  </si>
  <si>
    <t>D級（銷售額所占比例60~70%以上）</t>
  </si>
  <si>
    <t>E級（銷售額所占比例60以下）</t>
  </si>
  <si>
    <t>行業</t>
  </si>
  <si>
    <t>客戶名稱</t>
  </si>
  <si>
    <t>客戶代碼</t>
  </si>
  <si>
    <t>資訊傳輸、電腦服務和軟體業</t>
  </si>
  <si>
    <t>張三辦公軟體</t>
  </si>
  <si>
    <t>張三數據處理公司</t>
  </si>
  <si>
    <t>批發和零售</t>
  </si>
  <si>
    <t>張三百貨</t>
  </si>
  <si>
    <t>張三批發商</t>
  </si>
  <si>
    <t>文化、體育和娛樂業</t>
  </si>
  <si>
    <t>張三出版社</t>
  </si>
  <si>
    <t>客戶情況管理表</t>
  </si>
  <si>
    <t>序號</t>
  </si>
  <si>
    <t>負責人</t>
  </si>
  <si>
    <t>銷售情況</t>
  </si>
  <si>
    <t>客戶類型</t>
  </si>
  <si>
    <t>問題表現</t>
  </si>
  <si>
    <t>採用策略</t>
  </si>
  <si>
    <t>備註</t>
  </si>
  <si>
    <t>張三百貨公司</t>
  </si>
  <si>
    <t>張三</t>
  </si>
  <si>
    <t>本月度進貨量增加</t>
  </si>
  <si>
    <t>重點客戶</t>
  </si>
  <si>
    <t>人工對賬速度較慢</t>
  </si>
  <si>
    <t>打通介面系統對賬</t>
  </si>
  <si>
    <t>介面正在對接中</t>
  </si>
  <si>
    <t>重点客户</t>
  </si>
  <si>
    <t>问题客户</t>
  </si>
  <si>
    <t>重要客户</t>
  </si>
  <si>
    <t>備註：客戶類型分重點客戶、問題客戶、重要客戶</t>
  </si>
  <si>
    <t>客戶總體分類表</t>
  </si>
  <si>
    <t>分類標準</t>
  </si>
  <si>
    <t>客戶比例</t>
  </si>
  <si>
    <t>性別</t>
  </si>
  <si>
    <t>男性比例</t>
  </si>
  <si>
    <t>女性比例</t>
  </si>
  <si>
    <t>年齡</t>
  </si>
  <si>
    <t>18歲以下所占比例</t>
  </si>
  <si>
    <t>18～45歲所占比例</t>
  </si>
  <si>
    <t>45～60歲所占比例</t>
  </si>
  <si>
    <t>60歲以上所占比例</t>
  </si>
  <si>
    <t>地域</t>
  </si>
  <si>
    <r>
      <rPr>
        <sz val="10"/>
        <color theme="1"/>
        <rFont val="微软雅黑"/>
        <charset val="134"/>
      </rPr>
      <t>鄉村比例</t>
    </r>
    <r>
      <rPr>
        <sz val="10"/>
        <color theme="1"/>
        <rFont val="宋体"/>
        <charset val="134"/>
      </rPr>
      <t> </t>
    </r>
  </si>
  <si>
    <r>
      <rPr>
        <sz val="10"/>
        <color theme="1"/>
        <rFont val="微软雅黑"/>
        <charset val="134"/>
      </rPr>
      <t>城市比例</t>
    </r>
    <r>
      <rPr>
        <sz val="10"/>
        <color theme="1"/>
        <rFont val="宋体"/>
        <charset val="134"/>
      </rPr>
      <t> </t>
    </r>
  </si>
  <si>
    <t>東部比例</t>
  </si>
  <si>
    <t>西部比例</t>
  </si>
  <si>
    <t>南部比例</t>
  </si>
  <si>
    <t>北部比例</t>
  </si>
  <si>
    <t>消費額</t>
  </si>
  <si>
    <t>   高額比例</t>
  </si>
  <si>
    <t>中額比例</t>
  </si>
  <si>
    <t>低額比例</t>
  </si>
  <si>
    <t>需求類型</t>
  </si>
  <si>
    <t>生成資源需求所占比例</t>
  </si>
  <si>
    <t>生活資料需求所占比例</t>
  </si>
  <si>
    <t>工薪水準</t>
  </si>
  <si>
    <t>1000元以下所占比例</t>
  </si>
  <si>
    <t>1000~3000元所占比例</t>
  </si>
  <si>
    <t>3000元以上所占比例</t>
  </si>
  <si>
    <t>偏好的購物方式</t>
  </si>
  <si>
    <t>攤點零售比例</t>
  </si>
  <si>
    <t>市場批發比例</t>
  </si>
  <si>
    <t>廠家批發比例</t>
  </si>
  <si>
    <t>客戶聯絡計畫表</t>
  </si>
  <si>
    <t>地址</t>
  </si>
  <si>
    <t>經營類別</t>
  </si>
  <si>
    <t>聯繫方式</t>
  </si>
  <si>
    <t>聯絡人員</t>
  </si>
  <si>
    <t>聯絡時間</t>
  </si>
  <si>
    <t>聯絡目的</t>
  </si>
  <si>
    <t>聯絡地點</t>
  </si>
  <si>
    <t>廣州崗頂電腦城B-100</t>
  </si>
  <si>
    <t>軟體業</t>
  </si>
  <si>
    <t>020-1234567</t>
  </si>
  <si>
    <t>進貨</t>
  </si>
  <si>
    <t>電腦城</t>
  </si>
  <si>
    <t>已和客戶聯繫好</t>
  </si>
  <si>
    <t>客戶拜訪記錄表</t>
  </si>
  <si>
    <t>填表人：</t>
  </si>
  <si>
    <t>填表時間：</t>
  </si>
  <si>
    <t>部門經理：</t>
  </si>
  <si>
    <t>日期</t>
  </si>
  <si>
    <t>面談者</t>
  </si>
  <si>
    <t>商談計畫（選擇）</t>
  </si>
  <si>
    <t>面談概要</t>
  </si>
  <si>
    <t>成果（選擇）</t>
  </si>
  <si>
    <t>同行者</t>
  </si>
  <si>
    <t>費用專案</t>
  </si>
  <si>
    <t>金額（元）</t>
  </si>
  <si>
    <t>建立關係</t>
  </si>
  <si>
    <t>初次瞭解雙方的情況</t>
  </si>
  <si>
    <t>有希望</t>
  </si>
  <si>
    <t>李四</t>
  </si>
  <si>
    <t>打的費</t>
  </si>
  <si>
    <t>發報價單</t>
  </si>
  <si>
    <t>小結</t>
  </si>
  <si>
    <t>拜訪數目</t>
  </si>
  <si>
    <t>已處理問題</t>
  </si>
  <si>
    <t>未處理問題</t>
  </si>
  <si>
    <t>商談計畫選項為：A、初次拜訪      B、處理問題      C、建立關係
成  果  選 項 為 ：A、商談成功      B、有希望         C、再度訪問      D、無希望      E、繼續觀察</t>
  </si>
  <si>
    <t>初次拜访</t>
  </si>
  <si>
    <t>处理问题</t>
  </si>
  <si>
    <t>建立关系</t>
  </si>
  <si>
    <t>商谈成功</t>
  </si>
  <si>
    <t>再度访问</t>
  </si>
  <si>
    <t xml:space="preserve">无希望 </t>
  </si>
  <si>
    <t>继续观察</t>
  </si>
  <si>
    <t>客戶招待表</t>
  </si>
  <si>
    <t>申請人</t>
  </si>
  <si>
    <t>部門名稱</t>
  </si>
  <si>
    <t>研發部</t>
  </si>
  <si>
    <t>申請日期</t>
  </si>
  <si>
    <t>宴請場所</t>
  </si>
  <si>
    <t>飯堂</t>
  </si>
  <si>
    <t>宴請日期</t>
  </si>
  <si>
    <t>支
出
費
用
報
告</t>
  </si>
  <si>
    <t>專案</t>
  </si>
  <si>
    <t>會議</t>
  </si>
  <si>
    <t>租用酒店會議室</t>
  </si>
  <si>
    <t>用餐</t>
  </si>
  <si>
    <t>在飯堂的包間進餐</t>
  </si>
  <si>
    <t>住宿</t>
  </si>
  <si>
    <t>入駐公司酒店</t>
  </si>
  <si>
    <t>禮品</t>
  </si>
  <si>
    <t>贈送吉祥物</t>
  </si>
  <si>
    <t>交通</t>
  </si>
  <si>
    <t>無</t>
  </si>
  <si>
    <t>合計</t>
  </si>
  <si>
    <t>客戶出席人員</t>
  </si>
  <si>
    <t>張三、王五</t>
  </si>
  <si>
    <t>本公司出席人員</t>
  </si>
  <si>
    <t>李四、陳六</t>
  </si>
  <si>
    <t>情況描述</t>
  </si>
  <si>
    <t>洽談成功，已建立合作關係</t>
  </si>
  <si>
    <t>注意事項</t>
  </si>
  <si>
    <t>客戶服務部經理審核：</t>
  </si>
  <si>
    <t>總經理審核：</t>
  </si>
  <si>
    <t>財務部審核：</t>
  </si>
  <si>
    <t>禮品饋贈計畫表</t>
  </si>
  <si>
    <t>從事行業</t>
  </si>
  <si>
    <t>申請人姓名</t>
  </si>
  <si>
    <t>合作現狀</t>
  </si>
  <si>
    <t>饋贈目的</t>
  </si>
  <si>
    <t>禮品名稱</t>
  </si>
  <si>
    <t>禮品數量</t>
  </si>
  <si>
    <t>預算價值（元）</t>
  </si>
  <si>
    <t>軟體行業</t>
  </si>
  <si>
    <t>建議合作關係</t>
  </si>
  <si>
    <t>進一步鞏固關係</t>
  </si>
  <si>
    <t>卡通吉祥物</t>
  </si>
  <si>
    <t>卡通吉祥物作為贈品贈送給購買用戶</t>
  </si>
  <si>
    <t>經理：</t>
  </si>
  <si>
    <t>主管：</t>
  </si>
  <si>
    <t>填寫日期：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</si>
</sst>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#,##0.00_ "/>
    <numFmt numFmtId="178" formatCode="yyyy/m/d\ h:mm\ AM/PM"/>
  </numFmts>
  <fonts count="26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vertAlign val="subscript"/>
      <sz val="16"/>
      <color theme="1"/>
      <name val="微软雅黑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0"/>
      <color theme="1"/>
      <name val="宋体"/>
      <charset val="134"/>
    </font>
    <font>
      <vertAlign val="superscript"/>
      <sz val="16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57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 diagonalDown="1">
      <left style="medium">
        <color auto="1"/>
      </left>
      <right/>
      <top style="medium">
        <color auto="1"/>
      </top>
      <bottom style="thin">
        <color auto="1"/>
      </bottom>
      <diagonal style="dotted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16" borderId="5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" borderId="49" applyNumberFormat="0" applyFon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53" applyNumberFormat="0" applyFill="0" applyAlignment="0" applyProtection="0">
      <alignment vertical="center"/>
    </xf>
    <xf numFmtId="0" fontId="22" fillId="0" borderId="53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6" fillId="0" borderId="56" applyNumberFormat="0" applyFill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19" borderId="54" applyNumberFormat="0" applyAlignment="0" applyProtection="0">
      <alignment vertical="center"/>
    </xf>
    <xf numFmtId="0" fontId="13" fillId="19" borderId="51" applyNumberFormat="0" applyAlignment="0" applyProtection="0">
      <alignment vertical="center"/>
    </xf>
    <xf numFmtId="0" fontId="8" fillId="10" borderId="50" applyNumberForma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5" fillId="0" borderId="52" applyNumberFormat="0" applyFill="0" applyAlignment="0" applyProtection="0">
      <alignment vertical="center"/>
    </xf>
    <xf numFmtId="0" fontId="21" fillId="0" borderId="55" applyNumberFormat="0" applyFill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</cellStyleXfs>
  <cellXfs count="16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" fillId="2" borderId="9" xfId="0" applyFont="1" applyFill="1" applyBorder="1" applyAlignment="1">
      <alignment horizontal="center" vertical="center"/>
    </xf>
    <xf numFmtId="177" fontId="1" fillId="0" borderId="4" xfId="0" applyNumberFormat="1" applyFont="1" applyBorder="1" applyAlignment="1">
      <alignment horizontal="center" vertical="center"/>
    </xf>
    <xf numFmtId="0" fontId="1" fillId="0" borderId="10" xfId="0" applyFont="1" applyBorder="1">
      <alignment vertical="center"/>
    </xf>
    <xf numFmtId="177" fontId="1" fillId="0" borderId="6" xfId="0" applyNumberFormat="1" applyFont="1" applyBorder="1">
      <alignment vertical="center"/>
    </xf>
    <xf numFmtId="0" fontId="1" fillId="0" borderId="11" xfId="0" applyFont="1" applyBorder="1">
      <alignment vertical="center"/>
    </xf>
    <xf numFmtId="177" fontId="0" fillId="0" borderId="6" xfId="0" applyNumberFormat="1" applyBorder="1">
      <alignment vertical="center"/>
    </xf>
    <xf numFmtId="0" fontId="0" fillId="0" borderId="11" xfId="0" applyBorder="1">
      <alignment vertical="center"/>
    </xf>
    <xf numFmtId="177" fontId="0" fillId="0" borderId="8" xfId="0" applyNumberFormat="1" applyBorder="1">
      <alignment vertical="center"/>
    </xf>
    <xf numFmtId="0" fontId="0" fillId="0" borderId="12" xfId="0" applyBorder="1">
      <alignment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vertical="center"/>
    </xf>
    <xf numFmtId="0" fontId="1" fillId="0" borderId="14" xfId="0" applyFont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left" vertical="center"/>
    </xf>
    <xf numFmtId="0" fontId="1" fillId="0" borderId="16" xfId="0" applyFont="1" applyFill="1" applyBorder="1" applyAlignment="1">
      <alignment vertical="center"/>
    </xf>
    <xf numFmtId="0" fontId="1" fillId="2" borderId="16" xfId="0" applyFont="1" applyFill="1" applyBorder="1">
      <alignment vertical="center"/>
    </xf>
    <xf numFmtId="0" fontId="1" fillId="0" borderId="16" xfId="0" applyFont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177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77" fontId="1" fillId="0" borderId="16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4" fontId="1" fillId="0" borderId="16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0" fontId="1" fillId="0" borderId="0" xfId="0" applyFont="1" applyFill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1" fillId="0" borderId="5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0" xfId="0" applyFont="1" applyBorder="1">
      <alignment vertical="center"/>
    </xf>
    <xf numFmtId="0" fontId="1" fillId="0" borderId="20" xfId="0" applyFont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76" fontId="1" fillId="0" borderId="4" xfId="0" applyNumberFormat="1" applyFont="1" applyBorder="1">
      <alignment vertical="center"/>
    </xf>
    <xf numFmtId="0" fontId="1" fillId="0" borderId="10" xfId="0" applyFont="1" applyBorder="1" applyAlignment="1">
      <alignment horizontal="center" vertical="center"/>
    </xf>
    <xf numFmtId="176" fontId="1" fillId="0" borderId="6" xfId="0" applyNumberFormat="1" applyFont="1" applyBorder="1">
      <alignment vertical="center"/>
    </xf>
    <xf numFmtId="176" fontId="1" fillId="0" borderId="20" xfId="0" applyNumberFormat="1" applyFont="1" applyBorder="1">
      <alignment vertical="center"/>
    </xf>
    <xf numFmtId="0" fontId="1" fillId="0" borderId="25" xfId="0" applyFont="1" applyBorder="1" applyAlignment="1">
      <alignment vertical="center"/>
    </xf>
    <xf numFmtId="0" fontId="1" fillId="2" borderId="26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left" vertical="center" wrapText="1"/>
    </xf>
    <xf numFmtId="0" fontId="0" fillId="0" borderId="0" xfId="0" applyFont="1" applyFill="1" applyAlignment="1">
      <alignment vertical="center"/>
    </xf>
    <xf numFmtId="0" fontId="1" fillId="0" borderId="3" xfId="0" applyFont="1" applyBorder="1" applyAlignment="1">
      <alignment horizontal="center" vertical="center"/>
    </xf>
    <xf numFmtId="178" fontId="1" fillId="0" borderId="4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78" fontId="1" fillId="0" borderId="6" xfId="0" applyNumberFormat="1" applyFont="1" applyBorder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>
      <alignment vertical="center"/>
    </xf>
    <xf numFmtId="178" fontId="1" fillId="0" borderId="8" xfId="0" applyNumberFormat="1" applyFont="1" applyBorder="1">
      <alignment vertical="center"/>
    </xf>
    <xf numFmtId="0" fontId="1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9" fontId="1" fillId="2" borderId="20" xfId="11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9" fontId="1" fillId="0" borderId="16" xfId="11" applyFont="1" applyFill="1" applyBorder="1" applyAlignment="1">
      <alignment horizontal="center" vertical="center"/>
    </xf>
    <xf numFmtId="9" fontId="1" fillId="0" borderId="16" xfId="11" applyFont="1" applyBorder="1" applyAlignment="1">
      <alignment horizontal="center" vertical="center"/>
    </xf>
    <xf numFmtId="9" fontId="1" fillId="2" borderId="20" xfId="11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>
      <alignment horizontal="center" vertical="center" wrapText="1"/>
    </xf>
    <xf numFmtId="9" fontId="1" fillId="2" borderId="8" xfId="1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1" fillId="0" borderId="9" xfId="0" applyFont="1" applyBorder="1" applyAlignment="1">
      <alignment horizontal="center" vertical="center"/>
    </xf>
    <xf numFmtId="9" fontId="1" fillId="2" borderId="25" xfId="11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9" fontId="1" fillId="0" borderId="18" xfId="11" applyFont="1" applyBorder="1" applyAlignment="1">
      <alignment horizontal="center" vertical="center"/>
    </xf>
    <xf numFmtId="9" fontId="1" fillId="2" borderId="12" xfId="11" applyFont="1" applyFill="1" applyBorder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2" borderId="48" xfId="0" applyFont="1" applyFill="1" applyBorder="1" applyAlignment="1">
      <alignment horizontal="center" vertical="center"/>
    </xf>
    <xf numFmtId="0" fontId="1" fillId="0" borderId="43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47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I14"/>
  <sheetViews>
    <sheetView showGridLines="0" workbookViewId="0">
      <selection activeCell="C13" sqref="C13"/>
    </sheetView>
  </sheetViews>
  <sheetFormatPr defaultColWidth="8.725" defaultRowHeight="13.5"/>
  <cols>
    <col min="1" max="1" width="17.3666666666667" customWidth="1"/>
    <col min="2" max="9" width="14.6333333333333" customWidth="1"/>
  </cols>
  <sheetData>
    <row r="1" ht="24.75" spans="1:9">
      <c r="A1" s="2" t="s">
        <v>0</v>
      </c>
      <c r="B1" s="2"/>
      <c r="C1" s="2"/>
      <c r="D1" s="2"/>
      <c r="E1" s="2"/>
      <c r="F1" s="2"/>
      <c r="G1" s="2"/>
      <c r="H1" s="2"/>
      <c r="I1" s="2"/>
    </row>
    <row r="2" ht="25.5" spans="1:9">
      <c r="A2" s="2"/>
      <c r="B2" s="2"/>
      <c r="C2" s="2"/>
      <c r="D2" s="2"/>
      <c r="E2" s="2"/>
      <c r="F2" s="2"/>
      <c r="H2" s="158" t="s">
        <v>1</v>
      </c>
      <c r="I2" s="164" t="s">
        <v>2</v>
      </c>
    </row>
    <row r="3" ht="28" customHeight="1" spans="1:9">
      <c r="A3" s="159" t="s">
        <v>3</v>
      </c>
      <c r="B3" s="4" t="s">
        <v>4</v>
      </c>
      <c r="C3" s="4" t="s">
        <v>5</v>
      </c>
      <c r="D3" s="4" t="s">
        <v>6</v>
      </c>
      <c r="E3" s="4" t="s">
        <v>7</v>
      </c>
      <c r="F3" s="4" t="s">
        <v>8</v>
      </c>
      <c r="G3" s="4" t="s">
        <v>9</v>
      </c>
      <c r="H3" s="4" t="s">
        <v>10</v>
      </c>
      <c r="I3" s="14" t="s">
        <v>11</v>
      </c>
    </row>
    <row r="4" ht="22" customHeight="1" spans="1:9">
      <c r="A4" s="92" t="s">
        <v>12</v>
      </c>
      <c r="B4" s="141">
        <v>100</v>
      </c>
      <c r="C4" s="6">
        <v>200</v>
      </c>
      <c r="D4" s="6">
        <v>300</v>
      </c>
      <c r="E4" s="6">
        <v>400</v>
      </c>
      <c r="F4" s="6">
        <v>500</v>
      </c>
      <c r="G4" s="6">
        <v>600</v>
      </c>
      <c r="H4" s="6">
        <v>700</v>
      </c>
      <c r="I4" s="84">
        <v>800</v>
      </c>
    </row>
    <row r="5" ht="22" customHeight="1" spans="1:9">
      <c r="A5" s="7"/>
      <c r="B5" s="160"/>
      <c r="C5" s="8"/>
      <c r="D5" s="8"/>
      <c r="E5" s="8"/>
      <c r="F5" s="8"/>
      <c r="G5" s="8"/>
      <c r="H5" s="8"/>
      <c r="I5" s="18"/>
    </row>
    <row r="6" ht="22" customHeight="1" spans="1:9">
      <c r="A6" s="7"/>
      <c r="B6" s="160"/>
      <c r="C6" s="8"/>
      <c r="D6" s="8"/>
      <c r="E6" s="8"/>
      <c r="F6" s="8"/>
      <c r="G6" s="8"/>
      <c r="H6" s="8"/>
      <c r="I6" s="18"/>
    </row>
    <row r="7" ht="22" customHeight="1" spans="1:9">
      <c r="A7" s="7"/>
      <c r="B7" s="160"/>
      <c r="C7" s="8"/>
      <c r="D7" s="8"/>
      <c r="E7" s="8"/>
      <c r="F7" s="8"/>
      <c r="G7" s="8"/>
      <c r="H7" s="8"/>
      <c r="I7" s="18"/>
    </row>
    <row r="8" ht="22" customHeight="1" spans="1:9">
      <c r="A8" s="7"/>
      <c r="B8" s="160"/>
      <c r="C8" s="8"/>
      <c r="D8" s="8"/>
      <c r="E8" s="8"/>
      <c r="F8" s="8"/>
      <c r="G8" s="8"/>
      <c r="H8" s="8"/>
      <c r="I8" s="18"/>
    </row>
    <row r="9" ht="22" customHeight="1" spans="1:9">
      <c r="A9" s="7"/>
      <c r="B9" s="160"/>
      <c r="C9" s="8"/>
      <c r="D9" s="8"/>
      <c r="E9" s="8"/>
      <c r="F9" s="8"/>
      <c r="G9" s="8"/>
      <c r="H9" s="8"/>
      <c r="I9" s="18"/>
    </row>
    <row r="10" ht="22" customHeight="1" spans="1:9">
      <c r="A10" s="7"/>
      <c r="B10" s="160"/>
      <c r="C10" s="8"/>
      <c r="D10" s="8"/>
      <c r="E10" s="8"/>
      <c r="F10" s="8"/>
      <c r="G10" s="8"/>
      <c r="H10" s="8"/>
      <c r="I10" s="18"/>
    </row>
    <row r="11" ht="22" customHeight="1" spans="1:9">
      <c r="A11" s="7"/>
      <c r="B11" s="160"/>
      <c r="C11" s="8"/>
      <c r="D11" s="8"/>
      <c r="E11" s="8"/>
      <c r="F11" s="8"/>
      <c r="G11" s="8"/>
      <c r="H11" s="8"/>
      <c r="I11" s="18"/>
    </row>
    <row r="12" ht="22" customHeight="1" spans="1:9">
      <c r="A12" s="161"/>
      <c r="B12" s="162"/>
      <c r="C12" s="97"/>
      <c r="D12" s="97"/>
      <c r="E12" s="97"/>
      <c r="F12" s="97"/>
      <c r="G12" s="97"/>
      <c r="H12" s="97"/>
      <c r="I12" s="99"/>
    </row>
    <row r="13" ht="23" customHeight="1" spans="1:9">
      <c r="A13" s="1" t="s">
        <v>13</v>
      </c>
      <c r="B13" s="1"/>
      <c r="C13" s="1"/>
      <c r="D13" s="1" t="s">
        <v>14</v>
      </c>
      <c r="E13" s="163"/>
      <c r="F13" s="1"/>
      <c r="G13" s="1" t="s">
        <v>15</v>
      </c>
      <c r="H13" s="1"/>
      <c r="I13" s="163"/>
    </row>
    <row r="14" spans="1:9">
      <c r="A14" s="163"/>
      <c r="B14" s="163"/>
      <c r="C14" s="163"/>
      <c r="D14" s="163"/>
      <c r="E14" s="163"/>
      <c r="F14" s="163"/>
      <c r="G14" s="163"/>
      <c r="H14" s="163"/>
      <c r="I14" s="163"/>
    </row>
  </sheetData>
  <mergeCells count="1">
    <mergeCell ref="A1:I1"/>
  </mergeCell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O12"/>
  <sheetViews>
    <sheetView showGridLines="0" tabSelected="1" workbookViewId="0">
      <selection activeCell="B27" sqref="B27"/>
    </sheetView>
  </sheetViews>
  <sheetFormatPr defaultColWidth="8.725" defaultRowHeight="13.5"/>
  <cols>
    <col min="1" max="1" width="29.0916666666667" style="100" customWidth="1"/>
    <col min="2" max="3" width="13.6333333333333" style="100" customWidth="1"/>
    <col min="4" max="4" width="26.725" style="100" customWidth="1"/>
    <col min="5" max="5" width="15.6333333333333" style="100" customWidth="1"/>
    <col min="6" max="12" width="13.6333333333333" style="100" customWidth="1"/>
    <col min="13" max="13" width="17.3666666666667" style="100" customWidth="1"/>
    <col min="14" max="15" width="13.6333333333333" style="100" customWidth="1"/>
  </cols>
  <sheetData>
    <row r="1" ht="35" customHeight="1" spans="1:15">
      <c r="A1" s="2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ht="22" customHeight="1" spans="1:15">
      <c r="A2" s="128" t="s">
        <v>17</v>
      </c>
      <c r="B2" s="129"/>
      <c r="C2" s="130"/>
      <c r="D2" s="131" t="s">
        <v>18</v>
      </c>
      <c r="E2" s="129"/>
      <c r="F2" s="132"/>
      <c r="G2" s="133" t="s">
        <v>19</v>
      </c>
      <c r="H2" s="129"/>
      <c r="I2" s="130"/>
      <c r="J2" s="131" t="s">
        <v>20</v>
      </c>
      <c r="K2" s="129"/>
      <c r="L2" s="132"/>
      <c r="M2" s="133" t="s">
        <v>21</v>
      </c>
      <c r="N2" s="129"/>
      <c r="O2" s="156"/>
    </row>
    <row r="3" ht="22" customHeight="1" spans="1:15">
      <c r="A3" s="79" t="s">
        <v>22</v>
      </c>
      <c r="B3" s="40" t="s">
        <v>23</v>
      </c>
      <c r="C3" s="134" t="s">
        <v>24</v>
      </c>
      <c r="D3" s="135" t="s">
        <v>22</v>
      </c>
      <c r="E3" s="40" t="s">
        <v>23</v>
      </c>
      <c r="F3" s="136" t="s">
        <v>24</v>
      </c>
      <c r="G3" s="137" t="s">
        <v>22</v>
      </c>
      <c r="H3" s="40" t="s">
        <v>23</v>
      </c>
      <c r="I3" s="134" t="s">
        <v>24</v>
      </c>
      <c r="J3" s="135" t="s">
        <v>22</v>
      </c>
      <c r="K3" s="40" t="s">
        <v>23</v>
      </c>
      <c r="L3" s="136" t="s">
        <v>24</v>
      </c>
      <c r="M3" s="137" t="s">
        <v>22</v>
      </c>
      <c r="N3" s="40" t="s">
        <v>23</v>
      </c>
      <c r="O3" s="157" t="s">
        <v>24</v>
      </c>
    </row>
    <row r="4" ht="22" customHeight="1" spans="1:15">
      <c r="A4" s="92" t="s">
        <v>25</v>
      </c>
      <c r="B4" s="6" t="s">
        <v>26</v>
      </c>
      <c r="C4" s="138">
        <v>62</v>
      </c>
      <c r="D4" s="139" t="s">
        <v>25</v>
      </c>
      <c r="E4" s="6" t="s">
        <v>27</v>
      </c>
      <c r="F4" s="140">
        <v>6120</v>
      </c>
      <c r="G4" s="141" t="s">
        <v>28</v>
      </c>
      <c r="H4" s="6" t="s">
        <v>29</v>
      </c>
      <c r="I4" s="138">
        <v>6511</v>
      </c>
      <c r="J4" s="139" t="s">
        <v>28</v>
      </c>
      <c r="K4" s="6" t="s">
        <v>30</v>
      </c>
      <c r="L4" s="140">
        <v>63</v>
      </c>
      <c r="M4" s="141" t="s">
        <v>31</v>
      </c>
      <c r="N4" s="6" t="s">
        <v>32</v>
      </c>
      <c r="O4" s="84">
        <v>882</v>
      </c>
    </row>
    <row r="5" ht="22" customHeight="1" spans="1:15">
      <c r="A5" s="94"/>
      <c r="B5" s="9"/>
      <c r="C5" s="142"/>
      <c r="D5" s="143"/>
      <c r="E5" s="9"/>
      <c r="F5" s="144"/>
      <c r="G5" s="145"/>
      <c r="H5" s="9"/>
      <c r="I5" s="142"/>
      <c r="J5" s="143"/>
      <c r="K5" s="9"/>
      <c r="L5" s="144"/>
      <c r="M5" s="145"/>
      <c r="N5" s="9"/>
      <c r="O5" s="121"/>
    </row>
    <row r="6" ht="22" customHeight="1" spans="1:15">
      <c r="A6" s="94"/>
      <c r="B6" s="9"/>
      <c r="C6" s="142"/>
      <c r="D6" s="143"/>
      <c r="E6" s="9"/>
      <c r="F6" s="144"/>
      <c r="G6" s="145"/>
      <c r="H6" s="9"/>
      <c r="I6" s="142"/>
      <c r="J6" s="143"/>
      <c r="K6" s="9"/>
      <c r="L6" s="144"/>
      <c r="M6" s="145"/>
      <c r="N6" s="9"/>
      <c r="O6" s="121"/>
    </row>
    <row r="7" ht="22" customHeight="1" spans="1:15">
      <c r="A7" s="94"/>
      <c r="B7" s="9"/>
      <c r="C7" s="142"/>
      <c r="D7" s="143"/>
      <c r="E7" s="9"/>
      <c r="F7" s="144"/>
      <c r="G7" s="145"/>
      <c r="H7" s="9"/>
      <c r="I7" s="142"/>
      <c r="J7" s="143"/>
      <c r="K7" s="9"/>
      <c r="L7" s="144"/>
      <c r="M7" s="145"/>
      <c r="N7" s="9"/>
      <c r="O7" s="121"/>
    </row>
    <row r="8" ht="22" customHeight="1" spans="1:15">
      <c r="A8" s="94"/>
      <c r="B8" s="9"/>
      <c r="C8" s="142"/>
      <c r="D8" s="143"/>
      <c r="E8" s="9"/>
      <c r="F8" s="144"/>
      <c r="G8" s="145"/>
      <c r="H8" s="9"/>
      <c r="I8" s="142"/>
      <c r="J8" s="143"/>
      <c r="K8" s="9"/>
      <c r="L8" s="144"/>
      <c r="M8" s="145"/>
      <c r="N8" s="9"/>
      <c r="O8" s="121"/>
    </row>
    <row r="9" ht="22" customHeight="1" spans="1:15">
      <c r="A9" s="94"/>
      <c r="B9" s="9"/>
      <c r="C9" s="142"/>
      <c r="D9" s="143"/>
      <c r="E9" s="9"/>
      <c r="F9" s="144"/>
      <c r="G9" s="145"/>
      <c r="H9" s="9"/>
      <c r="I9" s="142"/>
      <c r="J9" s="143"/>
      <c r="K9" s="9"/>
      <c r="L9" s="144"/>
      <c r="M9" s="145"/>
      <c r="N9" s="9"/>
      <c r="O9" s="121"/>
    </row>
    <row r="10" ht="22" customHeight="1" spans="1:15">
      <c r="A10" s="146"/>
      <c r="B10" s="122"/>
      <c r="C10" s="147"/>
      <c r="D10" s="148"/>
      <c r="E10" s="122"/>
      <c r="F10" s="149"/>
      <c r="G10" s="150"/>
      <c r="H10" s="122"/>
      <c r="I10" s="147"/>
      <c r="J10" s="148"/>
      <c r="K10" s="122"/>
      <c r="L10" s="149"/>
      <c r="M10" s="150"/>
      <c r="N10" s="122"/>
      <c r="O10" s="123"/>
    </row>
    <row r="11" ht="22" customHeight="1" spans="1:15">
      <c r="A11" s="146"/>
      <c r="B11" s="122"/>
      <c r="C11" s="147"/>
      <c r="D11" s="148"/>
      <c r="E11" s="122"/>
      <c r="F11" s="149"/>
      <c r="G11" s="150"/>
      <c r="H11" s="122"/>
      <c r="I11" s="147"/>
      <c r="J11" s="148"/>
      <c r="K11" s="122"/>
      <c r="L11" s="149"/>
      <c r="M11" s="150"/>
      <c r="N11" s="122"/>
      <c r="O11" s="123"/>
    </row>
    <row r="12" ht="22" customHeight="1" spans="1:15">
      <c r="A12" s="151"/>
      <c r="B12" s="125"/>
      <c r="C12" s="152"/>
      <c r="D12" s="153"/>
      <c r="E12" s="125"/>
      <c r="F12" s="154"/>
      <c r="G12" s="155"/>
      <c r="H12" s="125"/>
      <c r="I12" s="152"/>
      <c r="J12" s="153"/>
      <c r="K12" s="125"/>
      <c r="L12" s="154"/>
      <c r="M12" s="155"/>
      <c r="N12" s="125"/>
      <c r="O12" s="126"/>
    </row>
  </sheetData>
  <mergeCells count="6">
    <mergeCell ref="A1:O1"/>
    <mergeCell ref="A2:C2"/>
    <mergeCell ref="D2:F2"/>
    <mergeCell ref="G2:I2"/>
    <mergeCell ref="J2:L2"/>
    <mergeCell ref="M2:O2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I14"/>
  <sheetViews>
    <sheetView showGridLines="0" workbookViewId="0">
      <selection activeCell="A2" sqref="A2"/>
    </sheetView>
  </sheetViews>
  <sheetFormatPr defaultColWidth="8.725" defaultRowHeight="16.5"/>
  <cols>
    <col min="1" max="1" width="6.63333333333333" customWidth="1"/>
    <col min="2" max="5" width="15.6333333333333" customWidth="1"/>
    <col min="6" max="6" width="17.4583333333333" customWidth="1"/>
    <col min="7" max="7" width="18.0916666666667" customWidth="1"/>
    <col min="8" max="8" width="32" customWidth="1"/>
    <col min="9" max="9" width="8.725" style="1" hidden="1" customWidth="1"/>
  </cols>
  <sheetData>
    <row r="1" ht="31" customHeight="1" spans="1:8">
      <c r="A1" s="2" t="s">
        <v>33</v>
      </c>
      <c r="B1" s="2"/>
      <c r="C1" s="2"/>
      <c r="D1" s="2"/>
      <c r="E1" s="2"/>
      <c r="F1" s="2"/>
      <c r="G1" s="2"/>
      <c r="H1" s="2"/>
    </row>
    <row r="2" s="1" customFormat="1" ht="31" customHeight="1" spans="1:8">
      <c r="A2" s="3" t="s">
        <v>34</v>
      </c>
      <c r="B2" s="4" t="s">
        <v>23</v>
      </c>
      <c r="C2" s="4" t="s">
        <v>35</v>
      </c>
      <c r="D2" s="4" t="s">
        <v>36</v>
      </c>
      <c r="E2" s="4" t="s">
        <v>37</v>
      </c>
      <c r="F2" s="4" t="s">
        <v>38</v>
      </c>
      <c r="G2" s="4" t="s">
        <v>39</v>
      </c>
      <c r="H2" s="14" t="s">
        <v>40</v>
      </c>
    </row>
    <row r="3" s="1" customFormat="1" ht="22" customHeight="1" spans="1:9">
      <c r="A3" s="92">
        <v>1</v>
      </c>
      <c r="B3" s="6" t="s">
        <v>41</v>
      </c>
      <c r="C3" s="6" t="s">
        <v>42</v>
      </c>
      <c r="D3" s="6" t="s">
        <v>43</v>
      </c>
      <c r="E3" s="6" t="s">
        <v>44</v>
      </c>
      <c r="F3" s="6" t="s">
        <v>45</v>
      </c>
      <c r="G3" s="6" t="s">
        <v>46</v>
      </c>
      <c r="H3" s="120" t="s">
        <v>47</v>
      </c>
      <c r="I3" s="1" t="s">
        <v>48</v>
      </c>
    </row>
    <row r="4" s="1" customFormat="1" ht="22" customHeight="1" spans="1:9">
      <c r="A4" s="94">
        <v>2</v>
      </c>
      <c r="B4" s="9"/>
      <c r="C4" s="9"/>
      <c r="D4" s="9"/>
      <c r="E4" s="9"/>
      <c r="F4" s="9"/>
      <c r="G4" s="9"/>
      <c r="H4" s="121"/>
      <c r="I4" s="1" t="s">
        <v>49</v>
      </c>
    </row>
    <row r="5" customFormat="1" ht="22" customHeight="1" spans="1:9">
      <c r="A5" s="94">
        <v>3</v>
      </c>
      <c r="B5" s="122"/>
      <c r="C5" s="122"/>
      <c r="D5" s="122"/>
      <c r="E5" s="122"/>
      <c r="F5" s="122"/>
      <c r="G5" s="122"/>
      <c r="H5" s="123"/>
      <c r="I5" s="1" t="s">
        <v>50</v>
      </c>
    </row>
    <row r="6" ht="22" customHeight="1" spans="1:8">
      <c r="A6" s="92">
        <v>4</v>
      </c>
      <c r="B6" s="122"/>
      <c r="C6" s="122"/>
      <c r="D6" s="122"/>
      <c r="E6" s="122"/>
      <c r="F6" s="122"/>
      <c r="G6" s="122"/>
      <c r="H6" s="123"/>
    </row>
    <row r="7" ht="22" customHeight="1" spans="1:8">
      <c r="A7" s="94">
        <v>5</v>
      </c>
      <c r="B7" s="122"/>
      <c r="C7" s="122"/>
      <c r="D7" s="122"/>
      <c r="E7" s="122"/>
      <c r="F7" s="122"/>
      <c r="G7" s="122"/>
      <c r="H7" s="123"/>
    </row>
    <row r="8" ht="22" customHeight="1" spans="1:8">
      <c r="A8" s="94">
        <v>6</v>
      </c>
      <c r="B8" s="122"/>
      <c r="C8" s="122"/>
      <c r="D8" s="122"/>
      <c r="E8" s="122"/>
      <c r="F8" s="122"/>
      <c r="G8" s="122"/>
      <c r="H8" s="123"/>
    </row>
    <row r="9" ht="22" customHeight="1" spans="1:8">
      <c r="A9" s="92">
        <v>7</v>
      </c>
      <c r="B9" s="122"/>
      <c r="C9" s="122"/>
      <c r="D9" s="122"/>
      <c r="E9" s="122"/>
      <c r="F9" s="122"/>
      <c r="G9" s="122"/>
      <c r="H9" s="123"/>
    </row>
    <row r="10" ht="22" customHeight="1" spans="1:8">
      <c r="A10" s="94">
        <v>8</v>
      </c>
      <c r="B10" s="122"/>
      <c r="C10" s="122"/>
      <c r="D10" s="122"/>
      <c r="E10" s="122"/>
      <c r="F10" s="122"/>
      <c r="G10" s="122"/>
      <c r="H10" s="123"/>
    </row>
    <row r="11" ht="22" customHeight="1" spans="1:8">
      <c r="A11" s="94">
        <v>9</v>
      </c>
      <c r="B11" s="122"/>
      <c r="C11" s="122"/>
      <c r="D11" s="122"/>
      <c r="E11" s="122"/>
      <c r="F11" s="122"/>
      <c r="G11" s="122"/>
      <c r="H11" s="123"/>
    </row>
    <row r="12" ht="22" customHeight="1" spans="1:8">
      <c r="A12" s="124">
        <v>10</v>
      </c>
      <c r="B12" s="125"/>
      <c r="C12" s="125"/>
      <c r="D12" s="125"/>
      <c r="E12" s="125"/>
      <c r="F12" s="125"/>
      <c r="G12" s="125"/>
      <c r="H12" s="126"/>
    </row>
    <row r="14" spans="1:8">
      <c r="A14" s="127" t="s">
        <v>51</v>
      </c>
      <c r="B14" s="127"/>
      <c r="C14" s="127"/>
      <c r="D14" s="127"/>
      <c r="E14" s="127"/>
      <c r="F14" s="127"/>
      <c r="G14" s="127"/>
      <c r="H14" s="127"/>
    </row>
  </sheetData>
  <mergeCells count="2">
    <mergeCell ref="A1:H1"/>
    <mergeCell ref="A14:H14"/>
  </mergeCells>
  <dataValidations count="1">
    <dataValidation type="list" allowBlank="1" showInputMessage="1" showErrorMessage="1" sqref="E3:E12">
      <formula1>$I$3:$I$5</formula1>
    </dataValidation>
  </dataValidation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S16"/>
  <sheetViews>
    <sheetView showGridLines="0" workbookViewId="0">
      <selection activeCell="A1" sqref="A1:M1"/>
    </sheetView>
  </sheetViews>
  <sheetFormatPr defaultColWidth="9" defaultRowHeight="13.5"/>
  <cols>
    <col min="1" max="1" width="9.90833333333333" style="100" customWidth="1"/>
    <col min="2" max="13" width="9.63333333333333" customWidth="1"/>
  </cols>
  <sheetData>
    <row r="1" s="91" customFormat="1" ht="37" customHeight="1" spans="1:19">
      <c r="A1" s="2" t="s">
        <v>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14"/>
      <c r="O1" s="114"/>
      <c r="P1" s="114"/>
      <c r="Q1" s="114"/>
      <c r="R1" s="114"/>
      <c r="S1" s="114"/>
    </row>
    <row r="2" s="1" customFormat="1" ht="22" customHeight="1" spans="1:13">
      <c r="A2" s="3" t="s">
        <v>53</v>
      </c>
      <c r="B2" s="101" t="s">
        <v>54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15"/>
    </row>
    <row r="3" s="1" customFormat="1" ht="22" customHeight="1" spans="1:13">
      <c r="A3" s="102" t="s">
        <v>55</v>
      </c>
      <c r="B3" s="33" t="s">
        <v>56</v>
      </c>
      <c r="C3" s="33"/>
      <c r="D3" s="33"/>
      <c r="E3" s="33"/>
      <c r="F3" s="33"/>
      <c r="G3" s="33"/>
      <c r="H3" s="33" t="s">
        <v>57</v>
      </c>
      <c r="I3" s="33"/>
      <c r="J3" s="33"/>
      <c r="K3" s="33"/>
      <c r="L3" s="33"/>
      <c r="M3" s="62"/>
    </row>
    <row r="4" s="1" customFormat="1" ht="22" customHeight="1" spans="1:13">
      <c r="A4" s="103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16"/>
    </row>
    <row r="5" s="1" customFormat="1" ht="22" customHeight="1" spans="1:13">
      <c r="A5" s="105" t="s">
        <v>58</v>
      </c>
      <c r="B5" s="106" t="s">
        <v>59</v>
      </c>
      <c r="C5" s="106"/>
      <c r="D5" s="106"/>
      <c r="E5" s="107" t="s">
        <v>60</v>
      </c>
      <c r="F5" s="107"/>
      <c r="G5" s="107"/>
      <c r="H5" s="107" t="s">
        <v>61</v>
      </c>
      <c r="I5" s="107"/>
      <c r="J5" s="107"/>
      <c r="K5" s="107" t="s">
        <v>62</v>
      </c>
      <c r="L5" s="107"/>
      <c r="M5" s="117"/>
    </row>
    <row r="6" s="1" customFormat="1" ht="22" customHeight="1" spans="1:13">
      <c r="A6" s="108"/>
      <c r="B6" s="109"/>
      <c r="C6" s="109"/>
      <c r="D6" s="109"/>
      <c r="E6" s="110"/>
      <c r="F6" s="110"/>
      <c r="G6" s="110"/>
      <c r="H6" s="110"/>
      <c r="I6" s="110"/>
      <c r="J6" s="110"/>
      <c r="K6" s="110"/>
      <c r="L6" s="110"/>
      <c r="M6" s="118"/>
    </row>
    <row r="7" s="1" customFormat="1" ht="22" customHeight="1" spans="1:13">
      <c r="A7" s="102" t="s">
        <v>63</v>
      </c>
      <c r="B7" s="33" t="s">
        <v>64</v>
      </c>
      <c r="C7" s="33"/>
      <c r="D7" s="33" t="s">
        <v>65</v>
      </c>
      <c r="E7" s="33"/>
      <c r="F7" s="33" t="s">
        <v>66</v>
      </c>
      <c r="G7" s="33"/>
      <c r="H7" s="33" t="s">
        <v>67</v>
      </c>
      <c r="I7" s="33"/>
      <c r="J7" s="33" t="s">
        <v>68</v>
      </c>
      <c r="K7" s="33"/>
      <c r="L7" s="33" t="s">
        <v>69</v>
      </c>
      <c r="M7" s="62"/>
    </row>
    <row r="8" s="1" customFormat="1" ht="22" customHeight="1" spans="1:13">
      <c r="A8" s="103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16"/>
    </row>
    <row r="9" s="1" customFormat="1" ht="22" customHeight="1" spans="1:13">
      <c r="A9" s="105" t="s">
        <v>70</v>
      </c>
      <c r="B9" s="107" t="s">
        <v>71</v>
      </c>
      <c r="C9" s="107"/>
      <c r="D9" s="107"/>
      <c r="E9" s="107"/>
      <c r="F9" s="107" t="s">
        <v>72</v>
      </c>
      <c r="G9" s="107"/>
      <c r="H9" s="107"/>
      <c r="I9" s="107"/>
      <c r="J9" s="107" t="s">
        <v>73</v>
      </c>
      <c r="K9" s="107"/>
      <c r="L9" s="107"/>
      <c r="M9" s="117"/>
    </row>
    <row r="10" s="1" customFormat="1" ht="22" customHeight="1" spans="1:13">
      <c r="A10" s="108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8"/>
    </row>
    <row r="11" s="1" customFormat="1" ht="22" customHeight="1" spans="1:13">
      <c r="A11" s="102" t="s">
        <v>74</v>
      </c>
      <c r="B11" s="33" t="s">
        <v>75</v>
      </c>
      <c r="C11" s="33"/>
      <c r="D11" s="33"/>
      <c r="E11" s="33"/>
      <c r="F11" s="33"/>
      <c r="G11" s="33"/>
      <c r="H11" s="33" t="s">
        <v>76</v>
      </c>
      <c r="I11" s="33"/>
      <c r="J11" s="33"/>
      <c r="K11" s="33"/>
      <c r="L11" s="33"/>
      <c r="M11" s="62"/>
    </row>
    <row r="12" s="1" customFormat="1" ht="22" customHeight="1" spans="1:13">
      <c r="A12" s="103"/>
      <c r="B12" s="111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16"/>
    </row>
    <row r="13" s="1" customFormat="1" ht="22" customHeight="1" spans="1:13">
      <c r="A13" s="105" t="s">
        <v>77</v>
      </c>
      <c r="B13" s="107" t="s">
        <v>78</v>
      </c>
      <c r="C13" s="107"/>
      <c r="D13" s="107"/>
      <c r="E13" s="107"/>
      <c r="F13" s="107" t="s">
        <v>79</v>
      </c>
      <c r="G13" s="107"/>
      <c r="H13" s="107"/>
      <c r="I13" s="107"/>
      <c r="J13" s="107" t="s">
        <v>80</v>
      </c>
      <c r="K13" s="107"/>
      <c r="L13" s="107"/>
      <c r="M13" s="117"/>
    </row>
    <row r="14" s="1" customFormat="1" ht="22" customHeight="1" spans="1:13">
      <c r="A14" s="108"/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8"/>
    </row>
    <row r="15" s="1" customFormat="1" ht="22" customHeight="1" spans="1:13">
      <c r="A15" s="32" t="s">
        <v>81</v>
      </c>
      <c r="B15" s="33" t="s">
        <v>82</v>
      </c>
      <c r="C15" s="33"/>
      <c r="D15" s="33"/>
      <c r="E15" s="33"/>
      <c r="F15" s="33" t="s">
        <v>83</v>
      </c>
      <c r="G15" s="33"/>
      <c r="H15" s="33"/>
      <c r="I15" s="33"/>
      <c r="J15" s="33" t="s">
        <v>84</v>
      </c>
      <c r="K15" s="33"/>
      <c r="L15" s="33"/>
      <c r="M15" s="62"/>
    </row>
    <row r="16" s="1" customFormat="1" ht="22" customHeight="1" spans="1:13">
      <c r="A16" s="112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9"/>
    </row>
  </sheetData>
  <mergeCells count="55">
    <mergeCell ref="A1:M1"/>
    <mergeCell ref="B2:M2"/>
    <mergeCell ref="B3:G3"/>
    <mergeCell ref="H3:M3"/>
    <mergeCell ref="B4:G4"/>
    <mergeCell ref="H4:M4"/>
    <mergeCell ref="B5:D5"/>
    <mergeCell ref="E5:G5"/>
    <mergeCell ref="H5:J5"/>
    <mergeCell ref="K5:M5"/>
    <mergeCell ref="B6:D6"/>
    <mergeCell ref="E6:G6"/>
    <mergeCell ref="H6:J6"/>
    <mergeCell ref="K6:M6"/>
    <mergeCell ref="B7:C7"/>
    <mergeCell ref="D7:E7"/>
    <mergeCell ref="F7:G7"/>
    <mergeCell ref="H7:I7"/>
    <mergeCell ref="J7:K7"/>
    <mergeCell ref="L7:M7"/>
    <mergeCell ref="B8:C8"/>
    <mergeCell ref="D8:E8"/>
    <mergeCell ref="F8:G8"/>
    <mergeCell ref="H8:I8"/>
    <mergeCell ref="J8:K8"/>
    <mergeCell ref="L8:M8"/>
    <mergeCell ref="B9:E9"/>
    <mergeCell ref="F9:I9"/>
    <mergeCell ref="J9:M9"/>
    <mergeCell ref="B10:E10"/>
    <mergeCell ref="F10:I10"/>
    <mergeCell ref="J10:M10"/>
    <mergeCell ref="B11:G11"/>
    <mergeCell ref="H11:M11"/>
    <mergeCell ref="B12:G12"/>
    <mergeCell ref="H12:M12"/>
    <mergeCell ref="B13:E13"/>
    <mergeCell ref="F13:I13"/>
    <mergeCell ref="J13:M13"/>
    <mergeCell ref="B14:E14"/>
    <mergeCell ref="F14:I14"/>
    <mergeCell ref="J14:M14"/>
    <mergeCell ref="B15:E15"/>
    <mergeCell ref="F15:I15"/>
    <mergeCell ref="J15:M15"/>
    <mergeCell ref="B16:E16"/>
    <mergeCell ref="F16:I16"/>
    <mergeCell ref="J16:M16"/>
    <mergeCell ref="A3:A4"/>
    <mergeCell ref="A5:A6"/>
    <mergeCell ref="A7:A8"/>
    <mergeCell ref="A9:A10"/>
    <mergeCell ref="A11:A12"/>
    <mergeCell ref="A13:A14"/>
    <mergeCell ref="A15:A16"/>
  </mergeCell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J11"/>
  <sheetViews>
    <sheetView showGridLines="0" workbookViewId="0">
      <selection activeCell="B4" sqref="B4"/>
    </sheetView>
  </sheetViews>
  <sheetFormatPr defaultColWidth="9" defaultRowHeight="13.5"/>
  <cols>
    <col min="1" max="1" width="6.275" customWidth="1"/>
    <col min="2" max="2" width="14.6333333333333" customWidth="1"/>
    <col min="3" max="3" width="23" customWidth="1"/>
    <col min="4" max="4" width="12" customWidth="1"/>
    <col min="5" max="5" width="14.4583333333333" customWidth="1"/>
    <col min="6" max="6" width="12.6333333333333" customWidth="1"/>
    <col min="7" max="7" width="20.6333333333333" customWidth="1"/>
    <col min="8" max="9" width="12.6333333333333" customWidth="1"/>
    <col min="10" max="10" width="22.5416666666667" customWidth="1"/>
  </cols>
  <sheetData>
    <row r="1" s="91" customFormat="1" ht="37" customHeight="1" spans="1:10">
      <c r="A1" s="2" t="s">
        <v>85</v>
      </c>
      <c r="B1" s="2"/>
      <c r="C1" s="2"/>
      <c r="D1" s="2"/>
      <c r="E1" s="2"/>
      <c r="F1" s="2"/>
      <c r="G1" s="2"/>
      <c r="H1" s="2"/>
      <c r="I1" s="2"/>
      <c r="J1" s="2"/>
    </row>
    <row r="2" ht="33" customHeight="1" spans="1:10">
      <c r="A2" s="3" t="s">
        <v>34</v>
      </c>
      <c r="B2" s="4" t="s">
        <v>23</v>
      </c>
      <c r="C2" s="4" t="s">
        <v>86</v>
      </c>
      <c r="D2" s="4" t="s">
        <v>87</v>
      </c>
      <c r="E2" s="4" t="s">
        <v>88</v>
      </c>
      <c r="F2" s="4" t="s">
        <v>89</v>
      </c>
      <c r="G2" s="4" t="s">
        <v>90</v>
      </c>
      <c r="H2" s="4" t="s">
        <v>91</v>
      </c>
      <c r="I2" s="4" t="s">
        <v>92</v>
      </c>
      <c r="J2" s="14" t="s">
        <v>40</v>
      </c>
    </row>
    <row r="3" ht="22" customHeight="1" spans="1:10">
      <c r="A3" s="92">
        <v>1</v>
      </c>
      <c r="B3" s="6" t="s">
        <v>26</v>
      </c>
      <c r="C3" s="6" t="s">
        <v>93</v>
      </c>
      <c r="D3" s="6" t="s">
        <v>94</v>
      </c>
      <c r="E3" s="6" t="s">
        <v>95</v>
      </c>
      <c r="F3" s="6" t="s">
        <v>42</v>
      </c>
      <c r="G3" s="93">
        <v>43341.5833333333</v>
      </c>
      <c r="H3" s="6" t="s">
        <v>96</v>
      </c>
      <c r="I3" s="6" t="s">
        <v>97</v>
      </c>
      <c r="J3" s="16" t="s">
        <v>98</v>
      </c>
    </row>
    <row r="4" ht="22" customHeight="1" spans="1:10">
      <c r="A4" s="94">
        <v>2</v>
      </c>
      <c r="B4" s="8"/>
      <c r="C4" s="8"/>
      <c r="D4" s="8"/>
      <c r="E4" s="8"/>
      <c r="F4" s="8"/>
      <c r="G4" s="95"/>
      <c r="H4" s="8"/>
      <c r="I4" s="8"/>
      <c r="J4" s="18"/>
    </row>
    <row r="5" ht="22" customHeight="1" spans="1:10">
      <c r="A5" s="94">
        <v>3</v>
      </c>
      <c r="B5" s="8"/>
      <c r="C5" s="8"/>
      <c r="D5" s="8"/>
      <c r="E5" s="8"/>
      <c r="F5" s="8"/>
      <c r="G5" s="95"/>
      <c r="H5" s="8"/>
      <c r="I5" s="8"/>
      <c r="J5" s="18"/>
    </row>
    <row r="6" ht="22" customHeight="1" spans="1:10">
      <c r="A6" s="92">
        <v>4</v>
      </c>
      <c r="B6" s="8"/>
      <c r="C6" s="8"/>
      <c r="D6" s="8"/>
      <c r="E6" s="8"/>
      <c r="F6" s="8"/>
      <c r="G6" s="95"/>
      <c r="H6" s="8"/>
      <c r="I6" s="8"/>
      <c r="J6" s="18"/>
    </row>
    <row r="7" ht="22" customHeight="1" spans="1:10">
      <c r="A7" s="94">
        <v>5</v>
      </c>
      <c r="B7" s="8"/>
      <c r="C7" s="8"/>
      <c r="D7" s="8"/>
      <c r="E7" s="8"/>
      <c r="F7" s="8"/>
      <c r="G7" s="95"/>
      <c r="H7" s="8"/>
      <c r="I7" s="8"/>
      <c r="J7" s="18"/>
    </row>
    <row r="8" ht="22" customHeight="1" spans="1:10">
      <c r="A8" s="94">
        <v>6</v>
      </c>
      <c r="B8" s="8"/>
      <c r="C8" s="8"/>
      <c r="D8" s="8"/>
      <c r="E8" s="8"/>
      <c r="F8" s="8"/>
      <c r="G8" s="95"/>
      <c r="H8" s="8"/>
      <c r="I8" s="8"/>
      <c r="J8" s="18"/>
    </row>
    <row r="9" ht="22" customHeight="1" spans="1:10">
      <c r="A9" s="92">
        <v>7</v>
      </c>
      <c r="B9" s="8"/>
      <c r="C9" s="8"/>
      <c r="D9" s="8"/>
      <c r="E9" s="8"/>
      <c r="F9" s="8"/>
      <c r="G9" s="95"/>
      <c r="H9" s="8"/>
      <c r="I9" s="8"/>
      <c r="J9" s="18"/>
    </row>
    <row r="10" ht="22" customHeight="1" spans="1:10">
      <c r="A10" s="94">
        <v>8</v>
      </c>
      <c r="B10" s="8"/>
      <c r="C10" s="8"/>
      <c r="D10" s="8"/>
      <c r="E10" s="8"/>
      <c r="F10" s="8"/>
      <c r="G10" s="95"/>
      <c r="H10" s="8"/>
      <c r="I10" s="8"/>
      <c r="J10" s="18"/>
    </row>
    <row r="11" ht="22" customHeight="1" spans="1:10">
      <c r="A11" s="96">
        <v>9</v>
      </c>
      <c r="B11" s="97"/>
      <c r="C11" s="97"/>
      <c r="D11" s="97"/>
      <c r="E11" s="97"/>
      <c r="F11" s="97"/>
      <c r="G11" s="98"/>
      <c r="H11" s="97"/>
      <c r="I11" s="97"/>
      <c r="J11" s="99"/>
    </row>
  </sheetData>
  <mergeCells count="1">
    <mergeCell ref="A1:J1"/>
  </mergeCell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J12"/>
  <sheetViews>
    <sheetView showGridLines="0" workbookViewId="0">
      <selection activeCell="A2" sqref="A2"/>
    </sheetView>
  </sheetViews>
  <sheetFormatPr defaultColWidth="8.725" defaultRowHeight="13.5"/>
  <cols>
    <col min="1" max="3" width="15.6333333333333" customWidth="1"/>
    <col min="4" max="4" width="16.725" customWidth="1"/>
    <col min="5" max="5" width="20.8166666666667" customWidth="1"/>
    <col min="6" max="6" width="15.1833333333333" customWidth="1"/>
    <col min="7" max="7" width="15.6333333333333" customWidth="1"/>
    <col min="8" max="8" width="12.5416666666667" customWidth="1"/>
    <col min="9" max="9" width="14.4583333333333" customWidth="1"/>
    <col min="10" max="10" width="20.1833333333333" customWidth="1"/>
  </cols>
  <sheetData>
    <row r="1" ht="31" customHeight="1" spans="1:10">
      <c r="A1" s="2" t="s">
        <v>99</v>
      </c>
      <c r="B1" s="2"/>
      <c r="C1" s="2"/>
      <c r="D1" s="2"/>
      <c r="E1" s="2"/>
      <c r="F1" s="2"/>
      <c r="G1" s="2"/>
      <c r="H1" s="2"/>
      <c r="I1" s="2"/>
      <c r="J1" s="2"/>
    </row>
    <row r="2" s="56" customFormat="1" ht="22" customHeight="1" spans="1:8">
      <c r="A2" s="53" t="s">
        <v>100</v>
      </c>
      <c r="B2" s="69"/>
      <c r="D2" s="55" t="s">
        <v>101</v>
      </c>
      <c r="F2" s="69"/>
      <c r="G2" s="69"/>
      <c r="H2" s="53" t="s">
        <v>102</v>
      </c>
    </row>
    <row r="3" s="1" customFormat="1" ht="22" customHeight="1" spans="1:10">
      <c r="A3" s="3" t="s">
        <v>103</v>
      </c>
      <c r="B3" s="4" t="s">
        <v>23</v>
      </c>
      <c r="C3" s="4" t="s">
        <v>104</v>
      </c>
      <c r="D3" s="4" t="s">
        <v>105</v>
      </c>
      <c r="E3" s="4" t="s">
        <v>106</v>
      </c>
      <c r="F3" s="4" t="s">
        <v>107</v>
      </c>
      <c r="G3" s="4" t="s">
        <v>108</v>
      </c>
      <c r="H3" s="4" t="s">
        <v>109</v>
      </c>
      <c r="I3" s="4" t="s">
        <v>110</v>
      </c>
      <c r="J3" s="14" t="s">
        <v>40</v>
      </c>
    </row>
    <row r="4" s="1" customFormat="1" ht="22" customHeight="1" spans="1:10">
      <c r="A4" s="70">
        <v>43341</v>
      </c>
      <c r="B4" s="6" t="s">
        <v>26</v>
      </c>
      <c r="C4" s="6" t="s">
        <v>42</v>
      </c>
      <c r="D4" s="6" t="s">
        <v>111</v>
      </c>
      <c r="E4" s="71" t="s">
        <v>112</v>
      </c>
      <c r="F4" s="6" t="s">
        <v>113</v>
      </c>
      <c r="G4" s="6" t="s">
        <v>114</v>
      </c>
      <c r="H4" s="6" t="s">
        <v>115</v>
      </c>
      <c r="I4" s="83">
        <v>59</v>
      </c>
      <c r="J4" s="84" t="s">
        <v>116</v>
      </c>
    </row>
    <row r="5" s="1" customFormat="1" ht="22" customHeight="1" spans="1:10">
      <c r="A5" s="72"/>
      <c r="B5" s="37"/>
      <c r="C5" s="8"/>
      <c r="D5" s="9"/>
      <c r="E5" s="8"/>
      <c r="F5" s="9"/>
      <c r="G5" s="8"/>
      <c r="H5" s="9"/>
      <c r="I5" s="85"/>
      <c r="J5" s="63"/>
    </row>
    <row r="6" s="1" customFormat="1" ht="22" customHeight="1" spans="1:10">
      <c r="A6" s="73"/>
      <c r="B6" s="74"/>
      <c r="C6" s="75"/>
      <c r="D6" s="76"/>
      <c r="E6" s="75"/>
      <c r="F6" s="76"/>
      <c r="G6" s="75"/>
      <c r="H6" s="76"/>
      <c r="I6" s="86"/>
      <c r="J6" s="87"/>
    </row>
    <row r="7" s="1" customFormat="1" ht="22" customHeight="1" spans="1:10">
      <c r="A7" s="77" t="s">
        <v>117</v>
      </c>
      <c r="B7" s="78" t="s">
        <v>118</v>
      </c>
      <c r="C7" s="78" t="s">
        <v>119</v>
      </c>
      <c r="D7" s="78"/>
      <c r="E7" s="78"/>
      <c r="F7" s="78"/>
      <c r="G7" s="78" t="s">
        <v>120</v>
      </c>
      <c r="H7" s="78"/>
      <c r="I7" s="78"/>
      <c r="J7" s="88"/>
    </row>
    <row r="8" s="68" customFormat="1" ht="46" customHeight="1" spans="1:10">
      <c r="A8" s="79"/>
      <c r="B8" s="80">
        <f>COUNT(A4:A6)</f>
        <v>1</v>
      </c>
      <c r="C8" s="80"/>
      <c r="D8" s="80"/>
      <c r="E8" s="80"/>
      <c r="F8" s="80"/>
      <c r="G8" s="80"/>
      <c r="H8" s="80"/>
      <c r="I8" s="80"/>
      <c r="J8" s="89"/>
    </row>
    <row r="9" s="1" customFormat="1" ht="44" customHeight="1" spans="1:10">
      <c r="A9" s="81" t="s">
        <v>121</v>
      </c>
      <c r="B9" s="82"/>
      <c r="C9" s="82"/>
      <c r="D9" s="82"/>
      <c r="E9" s="82"/>
      <c r="F9" s="82"/>
      <c r="G9" s="82"/>
      <c r="H9" s="82"/>
      <c r="I9" s="82"/>
      <c r="J9" s="90"/>
    </row>
    <row r="11" hidden="1" spans="1:3">
      <c r="A11" t="s">
        <v>122</v>
      </c>
      <c r="B11" t="s">
        <v>123</v>
      </c>
      <c r="C11" t="s">
        <v>124</v>
      </c>
    </row>
    <row r="12" hidden="1" spans="1:5">
      <c r="A12" t="s">
        <v>125</v>
      </c>
      <c r="B12" t="s">
        <v>113</v>
      </c>
      <c r="C12" t="s">
        <v>126</v>
      </c>
      <c r="D12" t="s">
        <v>127</v>
      </c>
      <c r="E12" t="s">
        <v>128</v>
      </c>
    </row>
  </sheetData>
  <mergeCells count="7">
    <mergeCell ref="A1:J1"/>
    <mergeCell ref="C7:F7"/>
    <mergeCell ref="G7:J7"/>
    <mergeCell ref="C8:F8"/>
    <mergeCell ref="G8:J8"/>
    <mergeCell ref="A9:J9"/>
    <mergeCell ref="A7:A8"/>
  </mergeCells>
  <dataValidations count="2">
    <dataValidation type="list" allowBlank="1" showInputMessage="1" showErrorMessage="1" sqref="D4:D6">
      <formula1>$A$11:$C$11</formula1>
    </dataValidation>
    <dataValidation type="list" allowBlank="1" showInputMessage="1" showErrorMessage="1" sqref="F4:F6">
      <formula1>$A$12:$E$12</formula1>
    </dataValidation>
  </dataValidation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K15"/>
  <sheetViews>
    <sheetView showGridLines="0" workbookViewId="0">
      <selection activeCell="A1" sqref="A1:K1"/>
    </sheetView>
  </sheetViews>
  <sheetFormatPr defaultColWidth="8.725" defaultRowHeight="13.5"/>
  <cols>
    <col min="1" max="1" width="8.45833333333333" customWidth="1"/>
    <col min="2" max="2" width="10.4583333333333" customWidth="1"/>
    <col min="3" max="3" width="20.9083333333333" customWidth="1"/>
    <col min="4" max="4" width="16.275" customWidth="1"/>
    <col min="8" max="8" width="19.1833333333333" customWidth="1"/>
  </cols>
  <sheetData>
    <row r="1" ht="31" customHeight="1" spans="1:11">
      <c r="A1" s="2" t="s">
        <v>129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="1" customFormat="1" ht="22" customHeight="1" spans="1:11">
      <c r="A2" s="23" t="s">
        <v>130</v>
      </c>
      <c r="B2" s="24"/>
      <c r="C2" s="25" t="s">
        <v>114</v>
      </c>
      <c r="D2" s="24" t="s">
        <v>131</v>
      </c>
      <c r="E2" s="26" t="s">
        <v>132</v>
      </c>
      <c r="F2" s="26"/>
      <c r="G2" s="26"/>
      <c r="H2" s="24" t="s">
        <v>133</v>
      </c>
      <c r="I2" s="57">
        <v>43341</v>
      </c>
      <c r="J2" s="58"/>
      <c r="K2" s="59"/>
    </row>
    <row r="3" s="1" customFormat="1" ht="22" customHeight="1" spans="1:11">
      <c r="A3" s="27" t="s">
        <v>23</v>
      </c>
      <c r="B3" s="28"/>
      <c r="C3" s="29" t="s">
        <v>26</v>
      </c>
      <c r="D3" s="30" t="s">
        <v>134</v>
      </c>
      <c r="E3" s="31" t="s">
        <v>135</v>
      </c>
      <c r="F3" s="31"/>
      <c r="G3" s="31"/>
      <c r="H3" s="28" t="s">
        <v>136</v>
      </c>
      <c r="I3" s="60">
        <v>43342</v>
      </c>
      <c r="J3" s="42"/>
      <c r="K3" s="61"/>
    </row>
    <row r="4" s="1" customFormat="1" ht="22" customHeight="1" spans="1:11">
      <c r="A4" s="32" t="s">
        <v>137</v>
      </c>
      <c r="B4" s="33" t="s">
        <v>138</v>
      </c>
      <c r="C4" s="33" t="s">
        <v>110</v>
      </c>
      <c r="D4" s="33"/>
      <c r="E4" s="33"/>
      <c r="F4" s="33"/>
      <c r="G4" s="33"/>
      <c r="H4" s="33" t="s">
        <v>40</v>
      </c>
      <c r="I4" s="33"/>
      <c r="J4" s="33"/>
      <c r="K4" s="62"/>
    </row>
    <row r="5" s="1" customFormat="1" ht="22" customHeight="1" spans="1:11">
      <c r="A5" s="34"/>
      <c r="B5" s="35" t="s">
        <v>139</v>
      </c>
      <c r="C5" s="36">
        <v>560</v>
      </c>
      <c r="D5" s="36"/>
      <c r="E5" s="36"/>
      <c r="F5" s="36"/>
      <c r="G5" s="36"/>
      <c r="H5" s="37" t="s">
        <v>140</v>
      </c>
      <c r="I5" s="37"/>
      <c r="J5" s="37"/>
      <c r="K5" s="63"/>
    </row>
    <row r="6" s="1" customFormat="1" ht="22" customHeight="1" spans="1:11">
      <c r="A6" s="34"/>
      <c r="B6" s="35" t="s">
        <v>141</v>
      </c>
      <c r="C6" s="36">
        <v>1200</v>
      </c>
      <c r="D6" s="36"/>
      <c r="E6" s="36"/>
      <c r="F6" s="36"/>
      <c r="G6" s="36"/>
      <c r="H6" s="38" t="s">
        <v>142</v>
      </c>
      <c r="I6" s="38"/>
      <c r="J6" s="38"/>
      <c r="K6" s="64"/>
    </row>
    <row r="7" s="1" customFormat="1" ht="22" customHeight="1" spans="1:11">
      <c r="A7" s="34"/>
      <c r="B7" s="35" t="s">
        <v>143</v>
      </c>
      <c r="C7" s="36">
        <v>530</v>
      </c>
      <c r="D7" s="36"/>
      <c r="E7" s="36"/>
      <c r="F7" s="36"/>
      <c r="G7" s="36"/>
      <c r="H7" s="38" t="s">
        <v>144</v>
      </c>
      <c r="I7" s="38"/>
      <c r="J7" s="38"/>
      <c r="K7" s="64"/>
    </row>
    <row r="8" s="1" customFormat="1" ht="22" customHeight="1" spans="1:11">
      <c r="A8" s="34"/>
      <c r="B8" s="35" t="s">
        <v>145</v>
      </c>
      <c r="C8" s="36">
        <v>500</v>
      </c>
      <c r="D8" s="36"/>
      <c r="E8" s="36"/>
      <c r="F8" s="36"/>
      <c r="G8" s="36"/>
      <c r="H8" s="38" t="s">
        <v>146</v>
      </c>
      <c r="I8" s="38"/>
      <c r="J8" s="38"/>
      <c r="K8" s="64"/>
    </row>
    <row r="9" s="1" customFormat="1" ht="22" customHeight="1" spans="1:11">
      <c r="A9" s="34"/>
      <c r="B9" s="35" t="s">
        <v>147</v>
      </c>
      <c r="C9" s="36">
        <v>0</v>
      </c>
      <c r="D9" s="36"/>
      <c r="E9" s="36"/>
      <c r="F9" s="36"/>
      <c r="G9" s="36"/>
      <c r="H9" s="38" t="s">
        <v>148</v>
      </c>
      <c r="I9" s="38"/>
      <c r="J9" s="38"/>
      <c r="K9" s="64"/>
    </row>
    <row r="10" s="1" customFormat="1" ht="22" customHeight="1" spans="1:11">
      <c r="A10" s="39"/>
      <c r="B10" s="40" t="s">
        <v>149</v>
      </c>
      <c r="C10" s="41">
        <f>SUM(C5:C9)</f>
        <v>2790</v>
      </c>
      <c r="D10" s="41"/>
      <c r="E10" s="41"/>
      <c r="F10" s="41"/>
      <c r="G10" s="41"/>
      <c r="H10" s="42"/>
      <c r="I10" s="42"/>
      <c r="J10" s="42"/>
      <c r="K10" s="61"/>
    </row>
    <row r="11" s="1" customFormat="1" ht="22" customHeight="1" spans="1:11">
      <c r="A11" s="43" t="s">
        <v>150</v>
      </c>
      <c r="B11" s="44"/>
      <c r="C11" s="45" t="s">
        <v>151</v>
      </c>
      <c r="D11" s="45"/>
      <c r="E11" s="45"/>
      <c r="F11" s="45"/>
      <c r="G11" s="45"/>
      <c r="H11" s="45"/>
      <c r="I11" s="45"/>
      <c r="J11" s="45"/>
      <c r="K11" s="65"/>
    </row>
    <row r="12" s="1" customFormat="1" ht="22" customHeight="1" spans="1:11">
      <c r="A12" s="46" t="s">
        <v>152</v>
      </c>
      <c r="B12" s="47"/>
      <c r="C12" s="48" t="s">
        <v>153</v>
      </c>
      <c r="D12" s="48"/>
      <c r="E12" s="48"/>
      <c r="F12" s="48"/>
      <c r="G12" s="48"/>
      <c r="H12" s="48"/>
      <c r="I12" s="48"/>
      <c r="J12" s="48"/>
      <c r="K12" s="66"/>
    </row>
    <row r="13" s="1" customFormat="1" ht="41" customHeight="1" spans="1:11">
      <c r="A13" s="46" t="s">
        <v>154</v>
      </c>
      <c r="B13" s="47"/>
      <c r="C13" s="48" t="s">
        <v>155</v>
      </c>
      <c r="D13" s="48"/>
      <c r="E13" s="48"/>
      <c r="F13" s="48"/>
      <c r="G13" s="48"/>
      <c r="H13" s="48"/>
      <c r="I13" s="48"/>
      <c r="J13" s="48"/>
      <c r="K13" s="66"/>
    </row>
    <row r="14" s="1" customFormat="1" ht="55" customHeight="1" spans="1:11">
      <c r="A14" s="49" t="s">
        <v>156</v>
      </c>
      <c r="B14" s="50"/>
      <c r="C14" s="51" t="s">
        <v>148</v>
      </c>
      <c r="D14" s="51"/>
      <c r="E14" s="51"/>
      <c r="F14" s="51"/>
      <c r="G14" s="51"/>
      <c r="H14" s="52"/>
      <c r="I14" s="52"/>
      <c r="J14" s="52"/>
      <c r="K14" s="67"/>
    </row>
    <row r="15" s="1" customFormat="1" ht="22" customHeight="1" spans="1:8">
      <c r="A15" s="53" t="s">
        <v>157</v>
      </c>
      <c r="B15" s="53"/>
      <c r="C15" s="54"/>
      <c r="D15" s="55" t="s">
        <v>158</v>
      </c>
      <c r="E15" s="56"/>
      <c r="G15" s="56"/>
      <c r="H15" s="55" t="s">
        <v>159</v>
      </c>
    </row>
  </sheetData>
  <mergeCells count="31">
    <mergeCell ref="A1:K1"/>
    <mergeCell ref="A2:B2"/>
    <mergeCell ref="E2:G2"/>
    <mergeCell ref="I2:K2"/>
    <mergeCell ref="A3:B3"/>
    <mergeCell ref="E3:G3"/>
    <mergeCell ref="I3:K3"/>
    <mergeCell ref="C4:G4"/>
    <mergeCell ref="H4:K4"/>
    <mergeCell ref="C5:G5"/>
    <mergeCell ref="H5:K5"/>
    <mergeCell ref="C6:G6"/>
    <mergeCell ref="H6:K6"/>
    <mergeCell ref="C7:G7"/>
    <mergeCell ref="H7:K7"/>
    <mergeCell ref="C8:G8"/>
    <mergeCell ref="H8:K8"/>
    <mergeCell ref="C9:G9"/>
    <mergeCell ref="H9:K9"/>
    <mergeCell ref="C10:G10"/>
    <mergeCell ref="H10:K10"/>
    <mergeCell ref="A11:B11"/>
    <mergeCell ref="C11:K11"/>
    <mergeCell ref="A12:B12"/>
    <mergeCell ref="C12:K12"/>
    <mergeCell ref="A13:B13"/>
    <mergeCell ref="C13:K13"/>
    <mergeCell ref="A14:B14"/>
    <mergeCell ref="C14:K14"/>
    <mergeCell ref="A15:B15"/>
    <mergeCell ref="A4:A10"/>
  </mergeCell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J9"/>
  <sheetViews>
    <sheetView showGridLines="0" workbookViewId="0">
      <selection activeCell="A1" sqref="A1:J1"/>
    </sheetView>
  </sheetViews>
  <sheetFormatPr defaultColWidth="8.725" defaultRowHeight="13.5"/>
  <cols>
    <col min="1" max="1" width="15.6333333333333" customWidth="1"/>
    <col min="2" max="2" width="13" customWidth="1"/>
    <col min="3" max="3" width="10.6333333333333" customWidth="1"/>
    <col min="4" max="4" width="11.6333333333333" customWidth="1"/>
    <col min="5" max="5" width="13.275" customWidth="1"/>
    <col min="6" max="6" width="15.275" customWidth="1"/>
    <col min="7" max="9" width="15.6333333333333" customWidth="1"/>
    <col min="10" max="10" width="37" customWidth="1"/>
  </cols>
  <sheetData>
    <row r="1" ht="33" customHeight="1" spans="1:10">
      <c r="A1" s="2" t="s">
        <v>160</v>
      </c>
      <c r="B1" s="2"/>
      <c r="C1" s="2"/>
      <c r="D1" s="2"/>
      <c r="E1" s="2"/>
      <c r="F1" s="2"/>
      <c r="G1" s="2"/>
      <c r="H1" s="2"/>
      <c r="I1" s="2"/>
      <c r="J1" s="2"/>
    </row>
    <row r="2" ht="22" customHeight="1" spans="1:10">
      <c r="A2" s="3" t="s">
        <v>23</v>
      </c>
      <c r="B2" s="4" t="s">
        <v>161</v>
      </c>
      <c r="C2" s="4" t="s">
        <v>35</v>
      </c>
      <c r="D2" s="4" t="s">
        <v>162</v>
      </c>
      <c r="E2" s="4" t="s">
        <v>163</v>
      </c>
      <c r="F2" s="4" t="s">
        <v>164</v>
      </c>
      <c r="G2" s="4" t="s">
        <v>165</v>
      </c>
      <c r="H2" s="4" t="s">
        <v>166</v>
      </c>
      <c r="I2" s="4" t="s">
        <v>167</v>
      </c>
      <c r="J2" s="14" t="s">
        <v>40</v>
      </c>
    </row>
    <row r="3" ht="22" customHeight="1" spans="1:10">
      <c r="A3" s="5" t="s">
        <v>26</v>
      </c>
      <c r="B3" s="6" t="s">
        <v>168</v>
      </c>
      <c r="C3" s="6" t="s">
        <v>42</v>
      </c>
      <c r="D3" s="6" t="s">
        <v>114</v>
      </c>
      <c r="E3" s="6" t="s">
        <v>169</v>
      </c>
      <c r="F3" s="6" t="s">
        <v>170</v>
      </c>
      <c r="G3" s="6" t="s">
        <v>171</v>
      </c>
      <c r="H3" s="6">
        <v>100</v>
      </c>
      <c r="I3" s="15">
        <v>500</v>
      </c>
      <c r="J3" s="16" t="s">
        <v>172</v>
      </c>
    </row>
    <row r="4" ht="22" customHeight="1" spans="1:10">
      <c r="A4" s="7"/>
      <c r="B4" s="8"/>
      <c r="C4" s="8"/>
      <c r="D4" s="8"/>
      <c r="E4" s="9"/>
      <c r="F4" s="8"/>
      <c r="G4" s="8"/>
      <c r="H4" s="8"/>
      <c r="I4" s="17"/>
      <c r="J4" s="18"/>
    </row>
    <row r="5" ht="22" customHeight="1" spans="1:10">
      <c r="A5" s="7"/>
      <c r="B5" s="8"/>
      <c r="C5" s="8"/>
      <c r="D5" s="8"/>
      <c r="E5" s="8"/>
      <c r="F5" s="8"/>
      <c r="G5" s="8"/>
      <c r="H5" s="8"/>
      <c r="I5" s="17"/>
      <c r="J5" s="18"/>
    </row>
    <row r="6" ht="22" customHeight="1" spans="1:10">
      <c r="A6" s="10"/>
      <c r="B6" s="11"/>
      <c r="C6" s="11"/>
      <c r="D6" s="11"/>
      <c r="E6" s="11"/>
      <c r="F6" s="11"/>
      <c r="G6" s="11"/>
      <c r="H6" s="11"/>
      <c r="I6" s="19"/>
      <c r="J6" s="20"/>
    </row>
    <row r="7" ht="22" customHeight="1" spans="1:10">
      <c r="A7" s="10"/>
      <c r="B7" s="11"/>
      <c r="C7" s="11"/>
      <c r="D7" s="11"/>
      <c r="E7" s="11"/>
      <c r="F7" s="11"/>
      <c r="G7" s="11"/>
      <c r="H7" s="11"/>
      <c r="I7" s="19"/>
      <c r="J7" s="20"/>
    </row>
    <row r="8" ht="22" customHeight="1" spans="1:10">
      <c r="A8" s="12"/>
      <c r="B8" s="13"/>
      <c r="C8" s="13"/>
      <c r="D8" s="13"/>
      <c r="E8" s="13"/>
      <c r="F8" s="13"/>
      <c r="G8" s="13"/>
      <c r="H8" s="13"/>
      <c r="I8" s="21"/>
      <c r="J8" s="22"/>
    </row>
    <row r="9" s="1" customFormat="1" ht="20" customHeight="1" spans="1:10">
      <c r="A9" s="1" t="s">
        <v>173</v>
      </c>
      <c r="D9" s="1" t="s">
        <v>174</v>
      </c>
      <c r="G9" s="1" t="s">
        <v>100</v>
      </c>
      <c r="J9" s="1" t="s">
        <v>175</v>
      </c>
    </row>
  </sheetData>
  <mergeCells count="1">
    <mergeCell ref="A1:J1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产品销售分析表</vt:lpstr>
      <vt:lpstr>產品銷售分析表</vt:lpstr>
      <vt:lpstr>客戶情況管理表</vt:lpstr>
      <vt:lpstr>客戶總體分類表</vt:lpstr>
      <vt:lpstr>客戶聯絡計畫表</vt:lpstr>
      <vt:lpstr>客戶拜訪記錄表</vt:lpstr>
      <vt:lpstr>客戶招待表</vt:lpstr>
      <vt:lpstr>禮品饋贈計畫表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2018-08-20T07:22:00Z</dcterms:created>
  <dcterms:modified xsi:type="dcterms:W3CDTF">2018-12-05T10:03:16Z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